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nkpad\Downloads\Blaze Work Samples\Sample Works\"/>
    </mc:Choice>
  </mc:AlternateContent>
  <bookViews>
    <workbookView xWindow="0" yWindow="0" windowWidth="19200" windowHeight="7300" activeTab="1"/>
  </bookViews>
  <sheets>
    <sheet name="General Summary" sheetId="4" r:id="rId1"/>
    <sheet name="Takeoff Breakdown" sheetId="1" r:id="rId2"/>
    <sheet name="LABOR SHEET" sheetId="6" r:id="rId3"/>
  </sheets>
  <definedNames>
    <definedName name="_xlnm._FilterDatabase" localSheetId="1" hidden="1">'Takeoff Breakdown'!$A$20:$AJ$75</definedName>
    <definedName name="_xlnm.Print_Area" localSheetId="0">'General Summary'!$A$1:$N$12</definedName>
    <definedName name="_xlnm.Print_Area" localSheetId="1">'Takeoff Breakdown'!$A$2:$Q$75</definedName>
    <definedName name="_xlnm.Print_Titles" localSheetId="1">'Takeoff Breakdown'!$1:$8</definedName>
  </definedNames>
  <calcPr calcId="152511"/>
</workbook>
</file>

<file path=xl/calcChain.xml><?xml version="1.0" encoding="utf-8"?>
<calcChain xmlns="http://schemas.openxmlformats.org/spreadsheetml/2006/main">
  <c r="L51" i="1" l="1"/>
  <c r="G51" i="1"/>
  <c r="O51" i="1" s="1"/>
  <c r="P51" i="1" s="1"/>
  <c r="Q51" i="1" s="1"/>
  <c r="L50" i="1"/>
  <c r="G50" i="1"/>
  <c r="O50" i="1" s="1"/>
  <c r="P50" i="1" s="1"/>
  <c r="Q50" i="1" s="1"/>
  <c r="L49" i="1"/>
  <c r="G49" i="1"/>
  <c r="O49" i="1" s="1"/>
  <c r="P49" i="1" s="1"/>
  <c r="Q49" i="1" s="1"/>
  <c r="A68" i="1"/>
  <c r="L67" i="1"/>
  <c r="G67" i="1"/>
  <c r="O67" i="1" s="1"/>
  <c r="P67" i="1" s="1"/>
  <c r="Q67" i="1" s="1"/>
  <c r="A66" i="1"/>
  <c r="A65" i="1"/>
  <c r="L64" i="1"/>
  <c r="G64" i="1"/>
  <c r="O64" i="1" s="1"/>
  <c r="P64" i="1" s="1"/>
  <c r="Q64" i="1" s="1"/>
  <c r="A63" i="1"/>
  <c r="A62" i="1"/>
  <c r="L61" i="1"/>
  <c r="G61" i="1"/>
  <c r="O61" i="1" s="1"/>
  <c r="P61" i="1" s="1"/>
  <c r="Q61" i="1" s="1"/>
  <c r="L60" i="1"/>
  <c r="G60" i="1"/>
  <c r="O60" i="1" s="1"/>
  <c r="P60" i="1" s="1"/>
  <c r="Q60" i="1" s="1"/>
  <c r="L59" i="1"/>
  <c r="G59" i="1"/>
  <c r="J59" i="1" s="1"/>
  <c r="M59" i="1" s="1"/>
  <c r="A58" i="1"/>
  <c r="A57" i="1"/>
  <c r="L56" i="1"/>
  <c r="G56" i="1"/>
  <c r="O56" i="1" s="1"/>
  <c r="P56" i="1" s="1"/>
  <c r="Q56" i="1" s="1"/>
  <c r="L55" i="1"/>
  <c r="G55" i="1"/>
  <c r="O55" i="1" s="1"/>
  <c r="P55" i="1" s="1"/>
  <c r="Q55" i="1" s="1"/>
  <c r="L54" i="1"/>
  <c r="G54" i="1"/>
  <c r="O54" i="1" s="1"/>
  <c r="P54" i="1" s="1"/>
  <c r="Q54" i="1" s="1"/>
  <c r="L53" i="1"/>
  <c r="G53" i="1"/>
  <c r="O53" i="1" s="1"/>
  <c r="P53" i="1" s="1"/>
  <c r="Q53" i="1" s="1"/>
  <c r="L52" i="1"/>
  <c r="G52" i="1"/>
  <c r="O52" i="1" s="1"/>
  <c r="P52" i="1" s="1"/>
  <c r="Q52" i="1" s="1"/>
  <c r="L48" i="1"/>
  <c r="G48" i="1"/>
  <c r="O48" i="1" s="1"/>
  <c r="P48" i="1" s="1"/>
  <c r="Q48" i="1" s="1"/>
  <c r="L47" i="1"/>
  <c r="G47" i="1"/>
  <c r="O47" i="1" s="1"/>
  <c r="P47" i="1" s="1"/>
  <c r="Q47" i="1" s="1"/>
  <c r="L46" i="1"/>
  <c r="G46" i="1"/>
  <c r="O46" i="1" s="1"/>
  <c r="P46" i="1" s="1"/>
  <c r="Q46" i="1" s="1"/>
  <c r="L45" i="1"/>
  <c r="G45" i="1"/>
  <c r="O45" i="1" s="1"/>
  <c r="P45" i="1" s="1"/>
  <c r="Q45" i="1" s="1"/>
  <c r="A44" i="1"/>
  <c r="A43" i="1"/>
  <c r="L42" i="1"/>
  <c r="G42" i="1"/>
  <c r="O42" i="1" s="1"/>
  <c r="P42" i="1" s="1"/>
  <c r="Q42" i="1" s="1"/>
  <c r="A41" i="1"/>
  <c r="A36" i="1"/>
  <c r="L35" i="1"/>
  <c r="G35" i="1"/>
  <c r="O35" i="1" s="1"/>
  <c r="P35" i="1" s="1"/>
  <c r="Q35" i="1" s="1"/>
  <c r="L34" i="1"/>
  <c r="G34" i="1"/>
  <c r="O34" i="1" s="1"/>
  <c r="P34" i="1" s="1"/>
  <c r="Q34" i="1" s="1"/>
  <c r="L33" i="1"/>
  <c r="G33" i="1"/>
  <c r="O33" i="1" s="1"/>
  <c r="P33" i="1" s="1"/>
  <c r="Q33" i="1" s="1"/>
  <c r="A32" i="1"/>
  <c r="L27" i="1"/>
  <c r="G27" i="1"/>
  <c r="J27" i="1" s="1"/>
  <c r="M27" i="1" s="1"/>
  <c r="L26" i="1"/>
  <c r="G26" i="1"/>
  <c r="O26" i="1" s="1"/>
  <c r="P26" i="1" s="1"/>
  <c r="Q26" i="1" s="1"/>
  <c r="L25" i="1"/>
  <c r="G25" i="1"/>
  <c r="J25" i="1" s="1"/>
  <c r="M25" i="1" s="1"/>
  <c r="J46" i="1" l="1"/>
  <c r="M46" i="1" s="1"/>
  <c r="J64" i="1"/>
  <c r="M64" i="1" s="1"/>
  <c r="J53" i="1"/>
  <c r="M53" i="1" s="1"/>
  <c r="J51" i="1"/>
  <c r="M51" i="1" s="1"/>
  <c r="J49" i="1"/>
  <c r="M49" i="1" s="1"/>
  <c r="J50" i="1"/>
  <c r="M50" i="1" s="1"/>
  <c r="J52" i="1"/>
  <c r="M52" i="1" s="1"/>
  <c r="J56" i="1"/>
  <c r="M56" i="1" s="1"/>
  <c r="J55" i="1"/>
  <c r="M55" i="1" s="1"/>
  <c r="J54" i="1"/>
  <c r="M54" i="1" s="1"/>
  <c r="J45" i="1"/>
  <c r="M45" i="1" s="1"/>
  <c r="J48" i="1"/>
  <c r="M48" i="1" s="1"/>
  <c r="J47" i="1"/>
  <c r="M47" i="1" s="1"/>
  <c r="O59" i="1"/>
  <c r="P59" i="1" s="1"/>
  <c r="Q59" i="1" s="1"/>
  <c r="J60" i="1"/>
  <c r="M60" i="1" s="1"/>
  <c r="J61" i="1"/>
  <c r="M61" i="1" s="1"/>
  <c r="J67" i="1"/>
  <c r="M67" i="1" s="1"/>
  <c r="J42" i="1"/>
  <c r="M42" i="1" s="1"/>
  <c r="J33" i="1"/>
  <c r="M33" i="1" s="1"/>
  <c r="J34" i="1"/>
  <c r="M34" i="1" s="1"/>
  <c r="J35" i="1"/>
  <c r="M35" i="1" s="1"/>
  <c r="O25" i="1"/>
  <c r="P25" i="1" s="1"/>
  <c r="Q25" i="1" s="1"/>
  <c r="O27" i="1"/>
  <c r="P27" i="1" s="1"/>
  <c r="Q27" i="1" s="1"/>
  <c r="J26" i="1"/>
  <c r="M26" i="1" s="1"/>
  <c r="L39" i="1"/>
  <c r="L38" i="1"/>
  <c r="L30" i="1"/>
  <c r="L29" i="1"/>
  <c r="L28" i="1"/>
  <c r="L24" i="1"/>
  <c r="L23" i="1"/>
  <c r="L22" i="1"/>
  <c r="L16" i="1"/>
  <c r="L15" i="1"/>
  <c r="L14" i="1"/>
  <c r="L13" i="1"/>
  <c r="L12" i="1"/>
  <c r="L11" i="1"/>
  <c r="L10" i="1"/>
  <c r="A40" i="1"/>
  <c r="G39" i="1"/>
  <c r="G38" i="1"/>
  <c r="O38" i="1" s="1"/>
  <c r="P38" i="1" s="1"/>
  <c r="Q38" i="1" s="1"/>
  <c r="A37" i="1"/>
  <c r="A31" i="1"/>
  <c r="G30" i="1"/>
  <c r="G29" i="1"/>
  <c r="J29" i="1" s="1"/>
  <c r="M29" i="1" s="1"/>
  <c r="G28" i="1"/>
  <c r="J28" i="1" s="1"/>
  <c r="M28" i="1" s="1"/>
  <c r="G24" i="1"/>
  <c r="J24" i="1" s="1"/>
  <c r="M24" i="1" s="1"/>
  <c r="G23" i="1"/>
  <c r="O23" i="1" s="1"/>
  <c r="P23" i="1" s="1"/>
  <c r="Q23" i="1" s="1"/>
  <c r="G22" i="1"/>
  <c r="O22" i="1" s="1"/>
  <c r="A21" i="1"/>
  <c r="A20" i="1"/>
  <c r="A19" i="1"/>
  <c r="A18" i="1"/>
  <c r="G16" i="1"/>
  <c r="O16" i="1" s="1"/>
  <c r="P16" i="1" s="1"/>
  <c r="G15" i="1"/>
  <c r="J15" i="1" s="1"/>
  <c r="M15" i="1" s="1"/>
  <c r="G14" i="1"/>
  <c r="O14" i="1" s="1"/>
  <c r="P14" i="1" s="1"/>
  <c r="G13" i="1"/>
  <c r="O13" i="1" s="1"/>
  <c r="P13" i="1" s="1"/>
  <c r="G12" i="1"/>
  <c r="O12" i="1" s="1"/>
  <c r="P12" i="1" s="1"/>
  <c r="G11" i="1"/>
  <c r="O11" i="1" s="1"/>
  <c r="P11" i="1" s="1"/>
  <c r="G10" i="1"/>
  <c r="O10" i="1" s="1"/>
  <c r="P10" i="1" s="1"/>
  <c r="A10" i="1"/>
  <c r="P22" i="1" l="1"/>
  <c r="Q22" i="1" s="1"/>
  <c r="J11" i="1"/>
  <c r="M11" i="1" s="1"/>
  <c r="O29" i="1"/>
  <c r="P29" i="1" s="1"/>
  <c r="Q29" i="1" s="1"/>
  <c r="O30" i="1"/>
  <c r="P30" i="1" s="1"/>
  <c r="Q30" i="1" s="1"/>
  <c r="J30" i="1"/>
  <c r="M30" i="1" s="1"/>
  <c r="O15" i="1"/>
  <c r="P15" i="1" s="1"/>
  <c r="Q15" i="1" s="1"/>
  <c r="Q13" i="1"/>
  <c r="J16" i="1"/>
  <c r="M16" i="1" s="1"/>
  <c r="O24" i="1"/>
  <c r="P24" i="1" s="1"/>
  <c r="Q24" i="1" s="1"/>
  <c r="J38" i="1"/>
  <c r="M38" i="1" s="1"/>
  <c r="J12" i="1"/>
  <c r="M12" i="1" s="1"/>
  <c r="J14" i="1"/>
  <c r="M14" i="1" s="1"/>
  <c r="J22" i="1"/>
  <c r="M22" i="1" s="1"/>
  <c r="J10" i="1"/>
  <c r="M10" i="1" s="1"/>
  <c r="O28" i="1"/>
  <c r="P28" i="1" s="1"/>
  <c r="Q28" i="1" s="1"/>
  <c r="O39" i="1"/>
  <c r="P39" i="1" s="1"/>
  <c r="Q39" i="1" s="1"/>
  <c r="J39" i="1"/>
  <c r="M39" i="1" s="1"/>
  <c r="J13" i="1"/>
  <c r="M13" i="1" s="1"/>
  <c r="J23" i="1"/>
  <c r="M23" i="1" s="1"/>
  <c r="Q11" i="1"/>
  <c r="Q12" i="1"/>
  <c r="Q16" i="1"/>
  <c r="Q10" i="1"/>
  <c r="Q14" i="1"/>
  <c r="A11" i="1"/>
  <c r="A12" i="1" s="1"/>
  <c r="M69" i="1" l="1"/>
  <c r="O69" i="1"/>
  <c r="Q18" i="1"/>
  <c r="A13" i="1"/>
  <c r="C4" i="4" l="1"/>
  <c r="C6" i="4" s="1"/>
  <c r="Q70" i="1"/>
  <c r="C5" i="4"/>
  <c r="A14" i="1"/>
  <c r="C9" i="4" l="1"/>
  <c r="C10" i="4"/>
  <c r="C8" i="4"/>
  <c r="C11" i="4"/>
  <c r="Q74" i="1"/>
  <c r="Q73" i="1"/>
  <c r="Q72" i="1"/>
  <c r="Q71" i="1"/>
  <c r="A15" i="1"/>
  <c r="C12" i="4" l="1"/>
  <c r="Q75" i="1"/>
  <c r="A16" i="1"/>
  <c r="A25" i="1" l="1"/>
  <c r="A22" i="1"/>
  <c r="A23" i="1" l="1"/>
  <c r="A24" i="1" l="1"/>
  <c r="A28" i="1" s="1"/>
  <c r="A26" i="1" l="1"/>
  <c r="A27" i="1" s="1"/>
  <c r="A29" i="1" l="1"/>
  <c r="A30" i="1" s="1"/>
  <c r="A33" i="1" l="1"/>
  <c r="A34" i="1" s="1"/>
  <c r="A35" i="1" s="1"/>
  <c r="A38" i="1" l="1"/>
  <c r="A39" i="1" s="1"/>
  <c r="A42" i="1" s="1"/>
  <c r="A51" i="1" l="1"/>
  <c r="A45" i="1"/>
  <c r="A48" i="1"/>
  <c r="A49" i="1" l="1"/>
  <c r="A46" i="1"/>
  <c r="A47" i="1" s="1"/>
  <c r="A54" i="1" s="1"/>
  <c r="A52" i="1" l="1"/>
  <c r="A50" i="1"/>
  <c r="A53" i="1" l="1"/>
  <c r="A55" i="1" s="1"/>
  <c r="A56" i="1" s="1"/>
  <c r="A59" i="1" s="1"/>
  <c r="A60" i="1" s="1"/>
  <c r="A61" i="1" l="1"/>
  <c r="A64" i="1" s="1"/>
  <c r="A67" i="1" l="1"/>
</calcChain>
</file>

<file path=xl/sharedStrings.xml><?xml version="1.0" encoding="utf-8"?>
<sst xmlns="http://schemas.openxmlformats.org/spreadsheetml/2006/main" count="214" uniqueCount="154">
  <si>
    <t>GENERAL SUMMARY</t>
  </si>
  <si>
    <t>DIVISION NO.</t>
  </si>
  <si>
    <t>DESCRIPTION</t>
  </si>
  <si>
    <t>TOTAL DIV. COST</t>
  </si>
  <si>
    <t>General Requirments</t>
  </si>
  <si>
    <t>Concrete</t>
  </si>
  <si>
    <t>Finishes</t>
  </si>
  <si>
    <t>Plumbing</t>
  </si>
  <si>
    <t>Electrical</t>
  </si>
  <si>
    <t>Earthwork</t>
  </si>
  <si>
    <t>TOTAL TRADE COST</t>
  </si>
  <si>
    <t>CONTINGENCY</t>
  </si>
  <si>
    <t>OVERHEAD AND PROFIT (10%)</t>
  </si>
  <si>
    <t>TAX (8.5%)</t>
  </si>
  <si>
    <t>PERFORMANCE AND PAYMENT BONDS</t>
  </si>
  <si>
    <t>TOTAL BASEBID</t>
  </si>
  <si>
    <t>DETAILED BREAKDOWN OF ITEMS</t>
  </si>
  <si>
    <t>Project Name</t>
  </si>
  <si>
    <t>Project Address</t>
  </si>
  <si>
    <t>Scope:</t>
  </si>
  <si>
    <t>S#</t>
  </si>
  <si>
    <t>Dwg.</t>
  </si>
  <si>
    <t>CSI NO</t>
  </si>
  <si>
    <t>QTY.</t>
  </si>
  <si>
    <t>Wastage</t>
  </si>
  <si>
    <t>Qty w/ Waste</t>
  </si>
  <si>
    <t>UNIT</t>
  </si>
  <si>
    <t>UNIT LABOR HOUR</t>
  </si>
  <si>
    <t>TOTAL LABOR HOUR</t>
  </si>
  <si>
    <t>LABOR WAGE/ HOUR</t>
  </si>
  <si>
    <t>TOTAL LABOR COST</t>
  </si>
  <si>
    <t>UNIT MATERIAL  COST</t>
  </si>
  <si>
    <t>TOTAL MATERIAL COST</t>
  </si>
  <si>
    <t>UNIT LABOR COST</t>
  </si>
  <si>
    <t>TRADE TOTAL</t>
  </si>
  <si>
    <t>DIVISION 01-GENERAL REQUIREMENTS</t>
  </si>
  <si>
    <t>Permits</t>
  </si>
  <si>
    <t>LS</t>
  </si>
  <si>
    <t>Supervision and Coordination</t>
  </si>
  <si>
    <t>Submittals and Shop drawings</t>
  </si>
  <si>
    <t>Final Cleaning</t>
  </si>
  <si>
    <t>Mobilization Costs</t>
  </si>
  <si>
    <t>Temporary Control &amp; Facilities</t>
  </si>
  <si>
    <t>Scaffolding</t>
  </si>
  <si>
    <t>SUBTOTAL</t>
  </si>
  <si>
    <t>CY</t>
  </si>
  <si>
    <t>LBS</t>
  </si>
  <si>
    <t>SF</t>
  </si>
  <si>
    <t>EA</t>
  </si>
  <si>
    <t>LF</t>
  </si>
  <si>
    <t>DIVISION 09- FINISHES</t>
  </si>
  <si>
    <t/>
  </si>
  <si>
    <t>TOTAL AMOUNT</t>
  </si>
  <si>
    <t>CONTIGENCIES (5%)</t>
  </si>
  <si>
    <t>Labor Type</t>
  </si>
  <si>
    <t>Labor Rate</t>
  </si>
  <si>
    <t>Carpenter</t>
  </si>
  <si>
    <t>CARP</t>
  </si>
  <si>
    <t>Plum</t>
  </si>
  <si>
    <t>Mechanical</t>
  </si>
  <si>
    <t>Mech</t>
  </si>
  <si>
    <t>Elec</t>
  </si>
  <si>
    <t>Q14C</t>
  </si>
  <si>
    <t>Drywaller</t>
  </si>
  <si>
    <t>Finisher</t>
  </si>
  <si>
    <t>Painting</t>
  </si>
  <si>
    <t>Painter</t>
  </si>
  <si>
    <t>Tile Contractor</t>
  </si>
  <si>
    <t>Tilf</t>
  </si>
  <si>
    <t>CMU/Stone</t>
  </si>
  <si>
    <t>D8</t>
  </si>
  <si>
    <t>B14S</t>
  </si>
  <si>
    <t>Misc</t>
  </si>
  <si>
    <t>Labor</t>
  </si>
  <si>
    <t>Manhour Increase Factor</t>
  </si>
  <si>
    <t>Each/Count</t>
  </si>
  <si>
    <t>Linear Footage</t>
  </si>
  <si>
    <t>Square Footage</t>
  </si>
  <si>
    <t>Square Yard</t>
  </si>
  <si>
    <t>SY</t>
  </si>
  <si>
    <t>Cubic Yard</t>
  </si>
  <si>
    <t>Lumpsum</t>
  </si>
  <si>
    <t>Survery</t>
  </si>
  <si>
    <t>Survey</t>
  </si>
  <si>
    <t>Stair Riser</t>
  </si>
  <si>
    <t>RISER</t>
  </si>
  <si>
    <t>Blocks Count</t>
  </si>
  <si>
    <t>BLOCKS</t>
  </si>
  <si>
    <t>Bags of Pre-Mix Mortar</t>
  </si>
  <si>
    <t>BAGS</t>
  </si>
  <si>
    <t>Linear Footage of Wall</t>
  </si>
  <si>
    <t>LF.Wall</t>
  </si>
  <si>
    <t>Pounds</t>
  </si>
  <si>
    <t>Pieces</t>
  </si>
  <si>
    <t>PCs</t>
  </si>
  <si>
    <t>Location</t>
  </si>
  <si>
    <t>LOC</t>
  </si>
  <si>
    <t>Bundle</t>
  </si>
  <si>
    <t>Rolls</t>
  </si>
  <si>
    <t>ROLLS</t>
  </si>
  <si>
    <t>Boxes</t>
  </si>
  <si>
    <t>BOX</t>
  </si>
  <si>
    <t>Holeses</t>
  </si>
  <si>
    <t>Holes</t>
  </si>
  <si>
    <t>PC</t>
  </si>
  <si>
    <t>Tubes</t>
  </si>
  <si>
    <t>Tube</t>
  </si>
  <si>
    <t>Gallons</t>
  </si>
  <si>
    <t>GA</t>
  </si>
  <si>
    <t>Square of Roofing</t>
  </si>
  <si>
    <t>SQ</t>
  </si>
  <si>
    <t>N/A</t>
  </si>
  <si>
    <t>UNIT PRICE (Labor &amp; Material)</t>
  </si>
  <si>
    <t>Metal</t>
  </si>
  <si>
    <t>Steel</t>
  </si>
  <si>
    <t>Roofer</t>
  </si>
  <si>
    <t>Roofing</t>
  </si>
  <si>
    <t>Genral Labor</t>
  </si>
  <si>
    <t>Exterior Improvement</t>
  </si>
  <si>
    <t>B15S</t>
  </si>
  <si>
    <t>FLOORIING</t>
  </si>
  <si>
    <t>FLOORING FOR LOWER FLOOR</t>
  </si>
  <si>
    <t>Floor transition</t>
  </si>
  <si>
    <t>BASE FOR LOWER FLOOR</t>
  </si>
  <si>
    <t>FL-1, Product name: Bravada inscription collection via hardwood flooring depot 9"x9/16", Color: Calibri calm, Finish: Flat poly eurothane, MFG.: Inscriptionby autograph, SKU: EK9TW498W</t>
  </si>
  <si>
    <t>FL-2, Product name: Villanova georgetown colllection, Color: Coastal bay, Finish: Wool carpet , MFG.: Hart's rugs &amp; carpets, SKU: Na</t>
  </si>
  <si>
    <t>FL-3, Product name: Epoxy vinyl color chip, Color: Anaheim grey color chip+Light grey base , MFG.: Kretus, SKU: Na</t>
  </si>
  <si>
    <t>TILE-3, Style: Belgian blue limestone/Basalt, MFR.: TBD, Color: Black or belgian blue, Finish: Brushed, Size: 12x12</t>
  </si>
  <si>
    <t>TILE-9, Style: Reside stack mesh, MFR.: AZ tile, Color: Black, Finish: Matte, Size: 1x12</t>
  </si>
  <si>
    <t>TILE-10, Style: Tivoli mosaic, MFR.: AZ Tile, Color: Grigio, Finish: Matte, Size: 2x2</t>
  </si>
  <si>
    <t>TILE-11, Style: Tivoli, MFR.: AZ Tile, Color: Grigio, Finish: Matte, Size: 12x24</t>
  </si>
  <si>
    <t>TILE-13, Style: Holland, MFR.: Tile bar, Color: Ash, Finish: Matte, Size: 12x24</t>
  </si>
  <si>
    <t>TILE-15, Style: Holland Mosaic, MFR.: Tile bar, Color: Ash, Finish: Matte, Size: 2x2</t>
  </si>
  <si>
    <t>COUTERTOP FOR LOWER FLOOR</t>
  </si>
  <si>
    <t>SLB-2, Style: Quartz, MFR.: Della terra arizona tile, Color: Concrete Grey, Finish: Honed</t>
  </si>
  <si>
    <t>SLB-3, Style: Quartz, MFR.: Ceasarstone, Color: Organic white 4600, Finish: Polished</t>
  </si>
  <si>
    <t>SLB-4, Style: Quartz, MFR.: Ceasarstone, Color: Frozen Terra 4601H, Finish: Honed</t>
  </si>
  <si>
    <t>WL-3, Product name: Baseboards, Color: Alabaster, Finish: Satin, MFG.: Sherwin williams, SKU: SW7009</t>
  </si>
  <si>
    <t>Epoxy vinyl cove (Assumed, Please confirm)</t>
  </si>
  <si>
    <t>TRANSITION FOR LOWER FLOOR</t>
  </si>
  <si>
    <t>FLOORING FOR UPPER FLOOR</t>
  </si>
  <si>
    <t>COUTERTOP FOR UPPER  FLOOR</t>
  </si>
  <si>
    <t>BASE FOR UPPER  FLOOR</t>
  </si>
  <si>
    <t>TRANSITION FOR UPPER FLOOR</t>
  </si>
  <si>
    <t>Deck#1, Floor: Lifedeck</t>
  </si>
  <si>
    <t>Deck#2 (Flooring detail not given)</t>
  </si>
  <si>
    <t>TILE-1, Style: Mosaico durango, MFR.: Porcelenosa, Color: Durango, Size: 13x39</t>
  </si>
  <si>
    <t>TILE-2, Style: Atlas limestone, MFR.: Roman marble, Color: Atlas grey, Finish: Antiqued, Size: 24x36</t>
  </si>
  <si>
    <t>TILE-4, Style: Porcelain, MFR.: Famosa, Color: Shale sand deco, Finish: Ribbed, Size: 12x24</t>
  </si>
  <si>
    <t>TILE-5, Style: Nature micro pebble, MFR.: Tile bar, Color: lovina White, Finish: Matte, Size: 12x12 mosaic</t>
  </si>
  <si>
    <t>TILE-6, Style: Cohesion, MFR.: Daltile, Color: White C020, Finish: Matte, Size: 12x24</t>
  </si>
  <si>
    <t>TILE-8, Style: Cohesion, MFR.: Daltile, Color: White C020, Finish: Polished, Size: 24x48</t>
  </si>
  <si>
    <t>TILE-12, Style: Mattone, MFR.: Famosa, Color: Sebia, Finish: Glossy, Size: 2.5"x14.25"</t>
  </si>
  <si>
    <t>SLB-1, Style: Quartz, MFR.: Ceasarstone, Color: Raven 4120, Finish: Polished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</si>
</sst>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000000"/>
    <numFmt numFmtId="166" formatCode="0.000"/>
    <numFmt numFmtId="167" formatCode="0.0"/>
    <numFmt numFmtId="168" formatCode="_(&quot;$&quot;* #,##0.0_);_(&quot;$&quot;* \(#,##0.0\);_(&quot;$&quot;* &quot;-&quot;??_);_(@_)"/>
    <numFmt numFmtId="169" formatCode="_(&quot;$&quot;* #,##0_);_(&quot;$&quot;* \(#,##0\);_(&quot;$&quot;* &quot;-&quot;??_);_(@_)"/>
    <numFmt numFmtId="170" formatCode="[$-409]d\-mmm\-yy;@"/>
    <numFmt numFmtId="171" formatCode="0.0%"/>
    <numFmt numFmtId="172" formatCode="_-[$$-409]* #,##0.00_ ;_-[$$-409]* \-#,##0.00\ ;_-[$$-409]* &quot;-&quot;??_ ;_-@_ "/>
  </numFmts>
  <fonts count="40">
    <font>
      <sz val="11"/>
      <color theme="1"/>
      <name val="Tw Cen MT"/>
      <charset val="134"/>
      <scheme val="minor"/>
    </font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6"/>
      <color rgb="FFFFFFFF"/>
      <name val="Times New Roman"/>
      <family val="1"/>
    </font>
    <font>
      <b/>
      <sz val="12"/>
      <color rgb="FF0000B3"/>
      <name val="Times New Roman"/>
      <family val="1"/>
    </font>
    <font>
      <sz val="14"/>
      <color rgb="FFFFFFFF"/>
      <name val="Times New Roman"/>
      <family val="1"/>
    </font>
    <font>
      <sz val="11"/>
      <color theme="1"/>
      <name val="Tw Cen MT"/>
      <family val="2"/>
      <scheme val="minor"/>
    </font>
    <font>
      <sz val="12"/>
      <name val="Arial"/>
      <family val="2"/>
    </font>
    <font>
      <sz val="11"/>
      <color rgb="FF000000"/>
      <name val="Calibri"/>
      <family val="2"/>
    </font>
    <font>
      <b/>
      <sz val="12"/>
      <color theme="1"/>
      <name val="Tw Cen MT"/>
      <family val="2"/>
      <scheme val="minor"/>
    </font>
    <font>
      <sz val="12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color theme="6"/>
      <name val="Calibri"/>
      <family val="2"/>
    </font>
    <font>
      <b/>
      <sz val="14"/>
      <name val="Calibri"/>
      <family val="2"/>
    </font>
    <font>
      <b/>
      <sz val="12"/>
      <color rgb="FF009A88"/>
      <name val="Calibri"/>
      <family val="2"/>
    </font>
    <font>
      <b/>
      <sz val="12"/>
      <name val="Calibri"/>
      <family val="2"/>
    </font>
    <font>
      <sz val="12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indexed="9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2"/>
      <color rgb="FF0C0C0C"/>
      <name val="Calibri"/>
      <family val="2"/>
    </font>
    <font>
      <b/>
      <sz val="12"/>
      <color rgb="FF0C0C0C"/>
      <name val="Calibri"/>
      <family val="2"/>
    </font>
    <font>
      <b/>
      <sz val="11"/>
      <color rgb="FF000000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2"/>
      <color theme="1"/>
      <name val="Calibri"/>
      <family val="2"/>
    </font>
    <font>
      <b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496A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366092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14">
    <xf numFmtId="0" fontId="0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12" borderId="35" applyNumberFormat="0" applyFont="0" applyAlignment="0" applyProtection="0"/>
    <xf numFmtId="164" fontId="12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/>
    <xf numFmtId="0" fontId="14" fillId="0" borderId="0">
      <protection locked="0"/>
    </xf>
    <xf numFmtId="9" fontId="13" fillId="0" borderId="0" applyFont="0" applyFill="0" applyBorder="0" applyAlignment="0" applyProtection="0"/>
    <xf numFmtId="1" fontId="15" fillId="2" borderId="10">
      <alignment horizontal="center" vertical="center"/>
    </xf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206">
    <xf numFmtId="0" fontId="0" fillId="0" borderId="0" xfId="0"/>
    <xf numFmtId="0" fontId="8" fillId="9" borderId="9" xfId="0" applyFont="1" applyFill="1" applyBorder="1" applyAlignment="1">
      <alignment horizontal="left" vertical="center"/>
    </xf>
    <xf numFmtId="0" fontId="8" fillId="10" borderId="9" xfId="0" applyFont="1" applyFill="1" applyBorder="1" applyAlignment="1">
      <alignment horizontal="left" vertical="center"/>
    </xf>
    <xf numFmtId="0" fontId="8" fillId="11" borderId="9" xfId="0" applyFont="1" applyFill="1" applyBorder="1" applyAlignment="1">
      <alignment horizontal="left" vertical="center"/>
    </xf>
    <xf numFmtId="0" fontId="0" fillId="2" borderId="0" xfId="0" applyFill="1"/>
    <xf numFmtId="169" fontId="0" fillId="2" borderId="0" xfId="0" applyNumberFormat="1" applyFill="1"/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right" vertical="center"/>
    </xf>
    <xf numFmtId="165" fontId="11" fillId="5" borderId="7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169" fontId="3" fillId="0" borderId="24" xfId="0" applyNumberFormat="1" applyFont="1" applyBorder="1"/>
    <xf numFmtId="0" fontId="7" fillId="0" borderId="9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169" fontId="3" fillId="0" borderId="25" xfId="0" applyNumberFormat="1" applyFont="1" applyBorder="1"/>
    <xf numFmtId="169" fontId="6" fillId="0" borderId="32" xfId="4" applyNumberFormat="1" applyFont="1" applyFill="1" applyBorder="1" applyAlignment="1">
      <alignment vertical="center"/>
    </xf>
    <xf numFmtId="164" fontId="0" fillId="2" borderId="0" xfId="0" applyNumberFormat="1" applyFill="1"/>
    <xf numFmtId="9" fontId="8" fillId="9" borderId="9" xfId="2" applyFont="1" applyFill="1" applyBorder="1" applyAlignment="1">
      <alignment horizontal="center" vertical="center"/>
    </xf>
    <xf numFmtId="172" fontId="8" fillId="9" borderId="9" xfId="0" applyNumberFormat="1" applyFont="1" applyFill="1" applyBorder="1" applyAlignment="1">
      <alignment horizontal="left" vertical="center"/>
    </xf>
    <xf numFmtId="171" fontId="8" fillId="10" borderId="9" xfId="2" applyNumberFormat="1" applyFont="1" applyFill="1" applyBorder="1" applyAlignment="1">
      <alignment horizontal="center" vertical="center"/>
    </xf>
    <xf numFmtId="172" fontId="8" fillId="10" borderId="9" xfId="0" applyNumberFormat="1" applyFont="1" applyFill="1" applyBorder="1" applyAlignment="1">
      <alignment horizontal="left" vertical="center"/>
    </xf>
    <xf numFmtId="171" fontId="8" fillId="11" borderId="9" xfId="2" applyNumberFormat="1" applyFont="1" applyFill="1" applyBorder="1" applyAlignment="1">
      <alignment horizontal="center" vertical="center"/>
    </xf>
    <xf numFmtId="172" fontId="8" fillId="11" borderId="9" xfId="0" applyNumberFormat="1" applyFont="1" applyFill="1" applyBorder="1" applyAlignment="1">
      <alignment horizontal="left" vertical="center"/>
    </xf>
    <xf numFmtId="43" fontId="0" fillId="2" borderId="33" xfId="0" applyNumberFormat="1" applyFill="1" applyBorder="1"/>
    <xf numFmtId="0" fontId="0" fillId="2" borderId="33" xfId="0" applyFill="1" applyBorder="1"/>
    <xf numFmtId="0" fontId="0" fillId="2" borderId="23" xfId="0" applyFill="1" applyBorder="1"/>
    <xf numFmtId="0" fontId="0" fillId="2" borderId="34" xfId="0" applyFill="1" applyBorder="1"/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2" borderId="0" xfId="0" applyFont="1" applyFill="1" applyAlignment="1">
      <alignment vertical="center"/>
    </xf>
    <xf numFmtId="0" fontId="16" fillId="2" borderId="5" xfId="0" applyFont="1" applyFill="1" applyBorder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170" fontId="22" fillId="2" borderId="23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9" fillId="2" borderId="0" xfId="0" applyFont="1" applyFill="1" applyAlignment="1">
      <alignment horizontal="left" vertical="center" wrapText="1"/>
    </xf>
    <xf numFmtId="3" fontId="23" fillId="2" borderId="0" xfId="0" applyNumberFormat="1" applyFont="1" applyFill="1" applyAlignment="1">
      <alignment horizontal="left" vertical="center" wrapText="1"/>
    </xf>
    <xf numFmtId="0" fontId="24" fillId="2" borderId="0" xfId="0" applyFont="1" applyFill="1" applyAlignment="1">
      <alignment horizontal="right" vertical="center"/>
    </xf>
    <xf numFmtId="0" fontId="21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left" vertical="center"/>
    </xf>
    <xf numFmtId="0" fontId="22" fillId="2" borderId="5" xfId="0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20" fillId="0" borderId="6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3" fillId="0" borderId="0" xfId="0" applyFont="1" applyAlignment="1">
      <alignment vertical="center" wrapText="1"/>
    </xf>
    <xf numFmtId="165" fontId="25" fillId="5" borderId="7" xfId="0" applyNumberFormat="1" applyFont="1" applyFill="1" applyBorder="1" applyAlignment="1">
      <alignment horizontal="center" vertical="center" wrapText="1"/>
    </xf>
    <xf numFmtId="165" fontId="25" fillId="5" borderId="8" xfId="0" applyNumberFormat="1" applyFont="1" applyFill="1" applyBorder="1" applyAlignment="1">
      <alignment horizontal="center" vertical="center" wrapText="1"/>
    </xf>
    <xf numFmtId="0" fontId="26" fillId="5" borderId="8" xfId="0" applyFont="1" applyFill="1" applyBorder="1" applyAlignment="1">
      <alignment horizontal="left" vertical="center" wrapText="1"/>
    </xf>
    <xf numFmtId="165" fontId="25" fillId="5" borderId="24" xfId="0" applyNumberFormat="1" applyFont="1" applyFill="1" applyBorder="1" applyAlignment="1">
      <alignment horizontal="center" vertical="center" wrapText="1"/>
    </xf>
    <xf numFmtId="165" fontId="27" fillId="6" borderId="9" xfId="0" applyNumberFormat="1" applyFont="1" applyFill="1" applyBorder="1" applyAlignment="1">
      <alignment horizontal="center" vertical="center" wrapText="1"/>
    </xf>
    <xf numFmtId="165" fontId="27" fillId="6" borderId="10" xfId="0" applyNumberFormat="1" applyFont="1" applyFill="1" applyBorder="1" applyAlignment="1">
      <alignment horizontal="center" vertical="center" wrapText="1"/>
    </xf>
    <xf numFmtId="165" fontId="25" fillId="5" borderId="10" xfId="0" applyNumberFormat="1" applyFont="1" applyFill="1" applyBorder="1" applyAlignment="1">
      <alignment horizontal="center" vertical="center" wrapText="1"/>
    </xf>
    <xf numFmtId="0" fontId="28" fillId="7" borderId="10" xfId="7" applyFont="1" applyFill="1" applyBorder="1" applyProtection="1"/>
    <xf numFmtId="165" fontId="27" fillId="6" borderId="25" xfId="0" applyNumberFormat="1" applyFont="1" applyFill="1" applyBorder="1" applyAlignment="1">
      <alignment horizontal="center" vertical="center" wrapText="1"/>
    </xf>
    <xf numFmtId="0" fontId="16" fillId="0" borderId="0" xfId="0" applyFont="1"/>
    <xf numFmtId="1" fontId="19" fillId="2" borderId="7" xfId="3" applyNumberFormat="1" applyFont="1" applyFill="1" applyBorder="1" applyAlignment="1">
      <alignment horizontal="center" vertical="center"/>
    </xf>
    <xf numFmtId="1" fontId="19" fillId="2" borderId="11" xfId="3" applyNumberFormat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9" fontId="16" fillId="0" borderId="8" xfId="0" applyNumberFormat="1" applyFont="1" applyBorder="1" applyAlignment="1">
      <alignment horizontal="center" vertical="center"/>
    </xf>
    <xf numFmtId="1" fontId="16" fillId="0" borderId="8" xfId="0" applyNumberFormat="1" applyFont="1" applyBorder="1" applyAlignment="1">
      <alignment horizontal="center" vertical="center"/>
    </xf>
    <xf numFmtId="164" fontId="16" fillId="0" borderId="24" xfId="0" applyNumberFormat="1" applyFont="1" applyBorder="1" applyAlignment="1">
      <alignment horizontal="center" vertical="center" wrapText="1"/>
    </xf>
    <xf numFmtId="164" fontId="16" fillId="2" borderId="0" xfId="0" applyNumberFormat="1" applyFont="1" applyFill="1" applyAlignment="1">
      <alignment vertical="center"/>
    </xf>
    <xf numFmtId="1" fontId="19" fillId="2" borderId="9" xfId="3" applyNumberFormat="1" applyFont="1" applyFill="1" applyBorder="1" applyAlignment="1">
      <alignment horizontal="center" vertical="center"/>
    </xf>
    <xf numFmtId="1" fontId="19" fillId="2" borderId="12" xfId="3" applyNumberFormat="1" applyFont="1" applyFill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9" fontId="16" fillId="0" borderId="10" xfId="0" applyNumberFormat="1" applyFont="1" applyBorder="1" applyAlignment="1">
      <alignment horizontal="center" vertical="center"/>
    </xf>
    <xf numFmtId="1" fontId="16" fillId="0" borderId="10" xfId="0" applyNumberFormat="1" applyFont="1" applyBorder="1" applyAlignment="1">
      <alignment horizontal="center" vertical="center"/>
    </xf>
    <xf numFmtId="166" fontId="29" fillId="0" borderId="10" xfId="0" applyNumberFormat="1" applyFont="1" applyBorder="1" applyAlignment="1">
      <alignment horizontal="center" vertical="center"/>
    </xf>
    <xf numFmtId="167" fontId="29" fillId="0" borderId="10" xfId="0" applyNumberFormat="1" applyFont="1" applyBorder="1" applyAlignment="1">
      <alignment horizontal="center" vertical="center"/>
    </xf>
    <xf numFmtId="164" fontId="16" fillId="0" borderId="10" xfId="1" applyFont="1" applyBorder="1" applyAlignment="1" applyProtection="1">
      <alignment horizontal="center" vertical="center"/>
    </xf>
    <xf numFmtId="168" fontId="16" fillId="0" borderId="10" xfId="0" applyNumberFormat="1" applyFont="1" applyBorder="1" applyAlignment="1">
      <alignment horizontal="left" vertical="center"/>
    </xf>
    <xf numFmtId="164" fontId="16" fillId="0" borderId="25" xfId="0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64" fontId="16" fillId="0" borderId="0" xfId="0" applyNumberFormat="1" applyFont="1" applyAlignment="1">
      <alignment vertical="center"/>
    </xf>
    <xf numFmtId="0" fontId="20" fillId="0" borderId="26" xfId="0" applyFont="1" applyBorder="1" applyAlignment="1">
      <alignment vertical="center"/>
    </xf>
    <xf numFmtId="1" fontId="19" fillId="0" borderId="10" xfId="3" applyNumberFormat="1" applyFont="1" applyFill="1" applyBorder="1" applyAlignment="1">
      <alignment vertical="center"/>
    </xf>
    <xf numFmtId="0" fontId="16" fillId="0" borderId="16" xfId="0" applyFont="1" applyBorder="1" applyAlignment="1">
      <alignment horizontal="center" vertical="center"/>
    </xf>
    <xf numFmtId="1" fontId="19" fillId="2" borderId="13" xfId="3" applyNumberFormat="1" applyFont="1" applyFill="1" applyBorder="1" applyAlignment="1">
      <alignment horizontal="center" vertical="center"/>
    </xf>
    <xf numFmtId="166" fontId="29" fillId="0" borderId="16" xfId="0" applyNumberFormat="1" applyFont="1" applyBorder="1" applyAlignment="1">
      <alignment horizontal="center" vertical="center"/>
    </xf>
    <xf numFmtId="168" fontId="16" fillId="0" borderId="16" xfId="0" applyNumberFormat="1" applyFont="1" applyBorder="1" applyAlignment="1">
      <alignment horizontal="left" vertical="center"/>
    </xf>
    <xf numFmtId="164" fontId="16" fillId="0" borderId="27" xfId="0" applyNumberFormat="1" applyFont="1" applyBorder="1" applyAlignment="1">
      <alignment horizontal="center" vertical="center" wrapText="1"/>
    </xf>
    <xf numFmtId="0" fontId="20" fillId="0" borderId="15" xfId="0" applyFont="1" applyBorder="1" applyAlignment="1">
      <alignment vertical="center"/>
    </xf>
    <xf numFmtId="0" fontId="30" fillId="0" borderId="17" xfId="0" applyFont="1" applyBorder="1" applyAlignment="1">
      <alignment horizontal="right" vertical="center" wrapText="1"/>
    </xf>
    <xf numFmtId="0" fontId="20" fillId="0" borderId="18" xfId="0" applyFont="1" applyBorder="1" applyAlignment="1">
      <alignment vertical="center"/>
    </xf>
    <xf numFmtId="0" fontId="16" fillId="0" borderId="18" xfId="0" applyFont="1" applyBorder="1" applyAlignment="1">
      <alignment vertical="center"/>
    </xf>
    <xf numFmtId="164" fontId="20" fillId="0" borderId="18" xfId="1" applyFont="1" applyFill="1" applyBorder="1" applyAlignment="1">
      <alignment horizontal="right" vertical="center"/>
    </xf>
    <xf numFmtId="169" fontId="30" fillId="8" borderId="28" xfId="0" applyNumberFormat="1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left" vertical="center" wrapText="1"/>
    </xf>
    <xf numFmtId="9" fontId="32" fillId="0" borderId="10" xfId="0" applyNumberFormat="1" applyFont="1" applyBorder="1" applyAlignment="1">
      <alignment horizontal="center" vertical="center"/>
    </xf>
    <xf numFmtId="1" fontId="32" fillId="0" borderId="10" xfId="0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8" fillId="7" borderId="10" xfId="7" applyFont="1" applyFill="1" applyBorder="1" applyAlignment="1" applyProtection="1">
      <alignment horizontal="center"/>
    </xf>
    <xf numFmtId="0" fontId="29" fillId="0" borderId="10" xfId="0" applyFont="1" applyBorder="1" applyAlignment="1">
      <alignment horizontal="left" vertical="center" wrapText="1"/>
    </xf>
    <xf numFmtId="0" fontId="16" fillId="2" borderId="0" xfId="0" applyFont="1" applyFill="1" applyAlignment="1">
      <alignment vertical="center" wrapText="1"/>
    </xf>
    <xf numFmtId="165" fontId="25" fillId="5" borderId="9" xfId="0" applyNumberFormat="1" applyFont="1" applyFill="1" applyBorder="1" applyAlignment="1">
      <alignment horizontal="center" vertical="center" wrapText="1"/>
    </xf>
    <xf numFmtId="165" fontId="25" fillId="5" borderId="25" xfId="0" applyNumberFormat="1" applyFont="1" applyFill="1" applyBorder="1" applyAlignment="1">
      <alignment horizontal="center" vertical="center" wrapText="1"/>
    </xf>
    <xf numFmtId="0" fontId="29" fillId="0" borderId="0" xfId="0" applyFont="1"/>
    <xf numFmtId="0" fontId="29" fillId="0" borderId="0" xfId="0" applyFont="1" applyAlignment="1">
      <alignment horizontal="left"/>
    </xf>
    <xf numFmtId="0" fontId="19" fillId="0" borderId="9" xfId="0" applyFont="1" applyBorder="1" applyAlignment="1">
      <alignment horizontal="center" vertical="center"/>
    </xf>
    <xf numFmtId="0" fontId="29" fillId="0" borderId="10" xfId="7" applyFont="1" applyBorder="1" applyProtection="1"/>
    <xf numFmtId="168" fontId="16" fillId="0" borderId="2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29" fillId="0" borderId="21" xfId="0" applyFont="1" applyBorder="1" applyAlignment="1">
      <alignment vertical="center" wrapText="1"/>
    </xf>
    <xf numFmtId="1" fontId="29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>
      <alignment horizontal="left" vertical="center" wrapText="1"/>
    </xf>
    <xf numFmtId="1" fontId="31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8" fillId="9" borderId="9" xfId="0" applyFont="1" applyFill="1" applyBorder="1" applyAlignment="1">
      <alignment horizontal="left" vertical="center"/>
    </xf>
    <xf numFmtId="0" fontId="29" fillId="9" borderId="10" xfId="0" applyFont="1" applyFill="1" applyBorder="1" applyAlignment="1">
      <alignment horizontal="center" vertical="center"/>
    </xf>
    <xf numFmtId="0" fontId="28" fillId="9" borderId="10" xfId="0" applyFont="1" applyFill="1" applyBorder="1" applyAlignment="1">
      <alignment horizontal="center" vertical="center"/>
    </xf>
    <xf numFmtId="0" fontId="28" fillId="9" borderId="10" xfId="0" applyFont="1" applyFill="1" applyBorder="1" applyAlignment="1">
      <alignment horizontal="left" vertical="center" wrapText="1"/>
    </xf>
    <xf numFmtId="0" fontId="33" fillId="9" borderId="10" xfId="0" applyFont="1" applyFill="1" applyBorder="1" applyAlignment="1">
      <alignment horizontal="center" vertical="center"/>
    </xf>
    <xf numFmtId="1" fontId="33" fillId="9" borderId="10" xfId="0" applyNumberFormat="1" applyFont="1" applyFill="1" applyBorder="1" applyAlignment="1">
      <alignment horizontal="center" vertical="center"/>
    </xf>
    <xf numFmtId="164" fontId="33" fillId="9" borderId="10" xfId="0" applyNumberFormat="1" applyFont="1" applyFill="1" applyBorder="1" applyAlignment="1">
      <alignment horizontal="left" vertical="center"/>
    </xf>
    <xf numFmtId="169" fontId="34" fillId="9" borderId="25" xfId="0" applyNumberFormat="1" applyFont="1" applyFill="1" applyBorder="1" applyAlignment="1">
      <alignment horizontal="left" vertical="center"/>
    </xf>
    <xf numFmtId="0" fontId="28" fillId="9" borderId="10" xfId="0" applyFont="1" applyFill="1" applyBorder="1" applyAlignment="1">
      <alignment horizontal="center"/>
    </xf>
    <xf numFmtId="0" fontId="28" fillId="9" borderId="10" xfId="0" applyFont="1" applyFill="1" applyBorder="1" applyAlignment="1">
      <alignment horizontal="left"/>
    </xf>
    <xf numFmtId="1" fontId="28" fillId="9" borderId="10" xfId="0" applyNumberFormat="1" applyFont="1" applyFill="1" applyBorder="1" applyAlignment="1">
      <alignment horizontal="center" vertical="center"/>
    </xf>
    <xf numFmtId="9" fontId="28" fillId="9" borderId="10" xfId="0" applyNumberFormat="1" applyFont="1" applyFill="1" applyBorder="1" applyAlignment="1">
      <alignment horizontal="left" vertical="center"/>
    </xf>
    <xf numFmtId="0" fontId="28" fillId="0" borderId="0" xfId="0" applyFont="1"/>
    <xf numFmtId="0" fontId="28" fillId="10" borderId="9" xfId="0" applyFont="1" applyFill="1" applyBorder="1" applyAlignment="1">
      <alignment horizontal="left" vertical="center"/>
    </xf>
    <xf numFmtId="0" fontId="29" fillId="10" borderId="10" xfId="0" applyFont="1" applyFill="1" applyBorder="1" applyAlignment="1">
      <alignment horizontal="center" vertical="center"/>
    </xf>
    <xf numFmtId="0" fontId="28" fillId="10" borderId="10" xfId="0" applyFont="1" applyFill="1" applyBorder="1" applyAlignment="1">
      <alignment horizontal="center"/>
    </xf>
    <xf numFmtId="0" fontId="28" fillId="10" borderId="10" xfId="0" applyFont="1" applyFill="1" applyBorder="1" applyAlignment="1">
      <alignment horizontal="left"/>
    </xf>
    <xf numFmtId="1" fontId="28" fillId="10" borderId="10" xfId="0" applyNumberFormat="1" applyFont="1" applyFill="1" applyBorder="1" applyAlignment="1">
      <alignment horizontal="center" vertical="center"/>
    </xf>
    <xf numFmtId="0" fontId="28" fillId="10" borderId="10" xfId="0" applyFont="1" applyFill="1" applyBorder="1" applyAlignment="1">
      <alignment horizontal="center" vertical="center"/>
    </xf>
    <xf numFmtId="9" fontId="28" fillId="10" borderId="10" xfId="0" applyNumberFormat="1" applyFont="1" applyFill="1" applyBorder="1" applyAlignment="1">
      <alignment horizontal="left" vertical="center"/>
    </xf>
    <xf numFmtId="169" fontId="34" fillId="10" borderId="25" xfId="0" applyNumberFormat="1" applyFont="1" applyFill="1" applyBorder="1" applyAlignment="1">
      <alignment horizontal="left" vertical="center"/>
    </xf>
    <xf numFmtId="0" fontId="28" fillId="11" borderId="9" xfId="0" applyFont="1" applyFill="1" applyBorder="1" applyAlignment="1">
      <alignment horizontal="left" vertical="center"/>
    </xf>
    <xf numFmtId="0" fontId="29" fillId="11" borderId="10" xfId="0" applyFont="1" applyFill="1" applyBorder="1" applyAlignment="1">
      <alignment horizontal="center" vertical="center"/>
    </xf>
    <xf numFmtId="0" fontId="28" fillId="11" borderId="10" xfId="0" applyFont="1" applyFill="1" applyBorder="1" applyAlignment="1">
      <alignment horizontal="center"/>
    </xf>
    <xf numFmtId="0" fontId="28" fillId="11" borderId="10" xfId="0" applyFont="1" applyFill="1" applyBorder="1" applyAlignment="1">
      <alignment horizontal="left"/>
    </xf>
    <xf numFmtId="1" fontId="28" fillId="11" borderId="10" xfId="0" applyNumberFormat="1" applyFont="1" applyFill="1" applyBorder="1" applyAlignment="1">
      <alignment horizontal="center" vertical="center"/>
    </xf>
    <xf numFmtId="0" fontId="28" fillId="11" borderId="10" xfId="0" applyFont="1" applyFill="1" applyBorder="1" applyAlignment="1">
      <alignment horizontal="center" vertical="center"/>
    </xf>
    <xf numFmtId="10" fontId="28" fillId="11" borderId="10" xfId="0" applyNumberFormat="1" applyFont="1" applyFill="1" applyBorder="1" applyAlignment="1">
      <alignment horizontal="left" vertical="center"/>
    </xf>
    <xf numFmtId="169" fontId="34" fillId="11" borderId="25" xfId="0" applyNumberFormat="1" applyFont="1" applyFill="1" applyBorder="1" applyAlignment="1">
      <alignment horizontal="left" vertical="center"/>
    </xf>
    <xf numFmtId="171" fontId="28" fillId="11" borderId="10" xfId="0" applyNumberFormat="1" applyFont="1" applyFill="1" applyBorder="1" applyAlignment="1">
      <alignment horizontal="left" vertical="center"/>
    </xf>
    <xf numFmtId="0" fontId="28" fillId="11" borderId="29" xfId="0" applyFont="1" applyFill="1" applyBorder="1" applyAlignment="1">
      <alignment horizontal="left" vertical="center"/>
    </xf>
    <xf numFmtId="0" fontId="29" fillId="11" borderId="30" xfId="0" applyFont="1" applyFill="1" applyBorder="1" applyAlignment="1">
      <alignment horizontal="center" vertical="center"/>
    </xf>
    <xf numFmtId="165" fontId="28" fillId="11" borderId="30" xfId="0" applyNumberFormat="1" applyFont="1" applyFill="1" applyBorder="1" applyAlignment="1">
      <alignment horizontal="center" vertical="center"/>
    </xf>
    <xf numFmtId="0" fontId="28" fillId="11" borderId="30" xfId="0" applyFont="1" applyFill="1" applyBorder="1" applyAlignment="1">
      <alignment horizontal="left" vertical="center" wrapText="1"/>
    </xf>
    <xf numFmtId="0" fontId="33" fillId="11" borderId="30" xfId="0" applyFont="1" applyFill="1" applyBorder="1" applyAlignment="1">
      <alignment horizontal="center" vertical="center"/>
    </xf>
    <xf numFmtId="1" fontId="33" fillId="11" borderId="30" xfId="0" applyNumberFormat="1" applyFont="1" applyFill="1" applyBorder="1" applyAlignment="1">
      <alignment horizontal="center" vertical="center"/>
    </xf>
    <xf numFmtId="164" fontId="33" fillId="11" borderId="30" xfId="0" applyNumberFormat="1" applyFont="1" applyFill="1" applyBorder="1" applyAlignment="1">
      <alignment horizontal="left" vertical="center"/>
    </xf>
    <xf numFmtId="169" fontId="34" fillId="11" borderId="31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35" fillId="2" borderId="0" xfId="10" applyFont="1" applyFill="1"/>
    <xf numFmtId="0" fontId="36" fillId="2" borderId="0" xfId="10" applyFont="1" applyFill="1"/>
    <xf numFmtId="0" fontId="37" fillId="2" borderId="0" xfId="10" applyFont="1" applyFill="1"/>
    <xf numFmtId="0" fontId="38" fillId="13" borderId="3" xfId="10" applyFont="1" applyFill="1" applyBorder="1" applyAlignment="1">
      <alignment horizontal="center"/>
    </xf>
    <xf numFmtId="0" fontId="38" fillId="13" borderId="22" xfId="10" applyFont="1" applyFill="1" applyBorder="1" applyAlignment="1">
      <alignment horizontal="center"/>
    </xf>
    <xf numFmtId="0" fontId="35" fillId="14" borderId="1" xfId="10" applyFont="1" applyFill="1" applyBorder="1" applyAlignment="1">
      <alignment horizontal="right"/>
    </xf>
    <xf numFmtId="0" fontId="38" fillId="14" borderId="2" xfId="10" applyFont="1" applyFill="1" applyBorder="1"/>
    <xf numFmtId="0" fontId="35" fillId="14" borderId="5" xfId="10" applyFont="1" applyFill="1" applyBorder="1" applyAlignment="1">
      <alignment horizontal="right"/>
    </xf>
    <xf numFmtId="0" fontId="38" fillId="14" borderId="0" xfId="10" applyFont="1" applyFill="1"/>
    <xf numFmtId="0" fontId="35" fillId="14" borderId="37" xfId="10" applyFont="1" applyFill="1" applyBorder="1" applyAlignment="1">
      <alignment horizontal="right"/>
    </xf>
    <xf numFmtId="0" fontId="38" fillId="14" borderId="33" xfId="10" applyFont="1" applyFill="1" applyBorder="1"/>
    <xf numFmtId="169" fontId="38" fillId="14" borderId="34" xfId="11" applyNumberFormat="1" applyFont="1" applyFill="1" applyBorder="1"/>
    <xf numFmtId="0" fontId="35" fillId="13" borderId="3" xfId="10" applyFont="1" applyFill="1" applyBorder="1" applyAlignment="1">
      <alignment horizontal="right"/>
    </xf>
    <xf numFmtId="9" fontId="35" fillId="13" borderId="22" xfId="12" applyFont="1" applyFill="1" applyBorder="1"/>
    <xf numFmtId="0" fontId="38" fillId="15" borderId="1" xfId="10" applyFont="1" applyFill="1" applyBorder="1" applyAlignment="1">
      <alignment horizontal="right"/>
    </xf>
    <xf numFmtId="0" fontId="38" fillId="15" borderId="2" xfId="10" applyFont="1" applyFill="1" applyBorder="1"/>
    <xf numFmtId="9" fontId="38" fillId="15" borderId="36" xfId="12" applyFont="1" applyFill="1" applyBorder="1"/>
    <xf numFmtId="0" fontId="38" fillId="15" borderId="5" xfId="10" applyFont="1" applyFill="1" applyBorder="1"/>
    <xf numFmtId="0" fontId="38" fillId="15" borderId="0" xfId="10" applyFont="1" applyFill="1"/>
    <xf numFmtId="9" fontId="38" fillId="15" borderId="23" xfId="12" applyFont="1" applyFill="1" applyBorder="1"/>
    <xf numFmtId="0" fontId="38" fillId="15" borderId="37" xfId="10" applyFont="1" applyFill="1" applyBorder="1"/>
    <xf numFmtId="0" fontId="38" fillId="15" borderId="33" xfId="10" applyFont="1" applyFill="1" applyBorder="1"/>
    <xf numFmtId="9" fontId="38" fillId="15" borderId="34" xfId="12" applyFont="1" applyFill="1" applyBorder="1"/>
    <xf numFmtId="0" fontId="39" fillId="2" borderId="0" xfId="10" applyFont="1" applyFill="1"/>
    <xf numFmtId="168" fontId="24" fillId="14" borderId="10" xfId="0" applyNumberFormat="1" applyFont="1" applyFill="1" applyBorder="1" applyAlignment="1">
      <alignment horizontal="center" vertical="center"/>
    </xf>
    <xf numFmtId="0" fontId="24" fillId="15" borderId="10" xfId="0" applyFont="1" applyFill="1" applyBorder="1" applyAlignment="1">
      <alignment horizontal="center" vertical="center" wrapText="1"/>
    </xf>
    <xf numFmtId="168" fontId="24" fillId="15" borderId="10" xfId="0" applyNumberFormat="1" applyFont="1" applyFill="1" applyBorder="1" applyAlignment="1">
      <alignment horizontal="center" vertical="center"/>
    </xf>
    <xf numFmtId="0" fontId="24" fillId="0" borderId="15" xfId="0" applyFont="1" applyBorder="1" applyAlignment="1">
      <alignment horizontal="center" vertical="center" wrapText="1"/>
    </xf>
    <xf numFmtId="168" fontId="38" fillId="14" borderId="23" xfId="11" applyNumberFormat="1" applyFont="1" applyFill="1" applyBorder="1"/>
    <xf numFmtId="164" fontId="38" fillId="14" borderId="36" xfId="11" applyFont="1" applyFill="1" applyBorder="1"/>
    <xf numFmtId="164" fontId="38" fillId="14" borderId="23" xfId="11" applyFont="1" applyFill="1" applyBorder="1"/>
    <xf numFmtId="165" fontId="9" fillId="5" borderId="19" xfId="0" applyNumberFormat="1" applyFont="1" applyFill="1" applyBorder="1" applyAlignment="1">
      <alignment horizontal="center" vertical="center" wrapText="1"/>
    </xf>
    <xf numFmtId="165" fontId="9" fillId="5" borderId="20" xfId="0" applyNumberFormat="1" applyFont="1" applyFill="1" applyBorder="1" applyAlignment="1">
      <alignment horizontal="center" vertical="center" wrapText="1"/>
    </xf>
    <xf numFmtId="165" fontId="9" fillId="5" borderId="11" xfId="0" applyNumberFormat="1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49" fontId="7" fillId="0" borderId="32" xfId="0" applyNumberFormat="1" applyFont="1" applyBorder="1" applyAlignment="1">
      <alignment horizontal="center" vertical="center"/>
    </xf>
    <xf numFmtId="0" fontId="24" fillId="14" borderId="38" xfId="0" applyFont="1" applyFill="1" applyBorder="1" applyAlignment="1">
      <alignment horizontal="center" vertical="center" wrapText="1"/>
    </xf>
    <xf numFmtId="0" fontId="24" fillId="14" borderId="39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wrapText="1"/>
    </xf>
    <xf numFmtId="3" fontId="18" fillId="2" borderId="0" xfId="0" applyNumberFormat="1" applyFont="1" applyFill="1" applyAlignment="1">
      <alignment horizontal="left"/>
    </xf>
    <xf numFmtId="0" fontId="22" fillId="2" borderId="0" xfId="0" applyFont="1" applyFill="1" applyAlignment="1">
      <alignment horizontal="left" vertical="center"/>
    </xf>
    <xf numFmtId="0" fontId="35" fillId="13" borderId="1" xfId="10" applyFont="1" applyFill="1" applyBorder="1" applyAlignment="1">
      <alignment horizontal="left" vertical="top" wrapText="1"/>
    </xf>
    <xf numFmtId="0" fontId="35" fillId="13" borderId="36" xfId="10" applyFont="1" applyFill="1" applyBorder="1" applyAlignment="1">
      <alignment horizontal="left" vertical="top" wrapText="1"/>
    </xf>
    <xf numFmtId="0" fontId="35" fillId="13" borderId="5" xfId="10" applyFont="1" applyFill="1" applyBorder="1" applyAlignment="1">
      <alignment horizontal="left" vertical="top" wrapText="1"/>
    </xf>
    <xf numFmtId="0" fontId="35" fillId="13" borderId="23" xfId="10" applyFont="1" applyFill="1" applyBorder="1" applyAlignment="1">
      <alignment horizontal="left" vertical="top" wrapText="1"/>
    </xf>
    <xf numFmtId="0" fontId="35" fillId="13" borderId="37" xfId="10" applyFont="1" applyFill="1" applyBorder="1" applyAlignment="1">
      <alignment horizontal="left" vertical="top" wrapText="1"/>
    </xf>
    <xf numFmtId="0" fontId="35" fillId="13" borderId="34" xfId="10" applyFont="1" applyFill="1" applyBorder="1" applyAlignment="1">
      <alignment horizontal="left" vertical="top" wrapText="1"/>
    </xf>
    <xf numFmtId="0" fontId="38" fillId="13" borderId="1" xfId="10" applyFont="1" applyFill="1" applyBorder="1" applyAlignment="1">
      <alignment horizontal="center"/>
    </xf>
    <xf numFmtId="0" fontId="38" fillId="13" borderId="36" xfId="10" applyFont="1" applyFill="1" applyBorder="1" applyAlignment="1">
      <alignment horizontal="center"/>
    </xf>
  </cellXfs>
  <cellStyles count="14">
    <cellStyle name="Currency" xfId="1" builtinId="4"/>
    <cellStyle name="Currency 2" xfId="4"/>
    <cellStyle name="Currency 3" xfId="5"/>
    <cellStyle name="Currency 4" xfId="11"/>
    <cellStyle name="Normal" xfId="0" builtinId="0"/>
    <cellStyle name="Normal 2" xfId="10"/>
    <cellStyle name="Normal 2 3" xfId="6"/>
    <cellStyle name="Normal 3" xfId="13"/>
    <cellStyle name="Normal 4" xfId="7"/>
    <cellStyle name="Note" xfId="3" builtinId="10"/>
    <cellStyle name="Percent" xfId="2" builtinId="5"/>
    <cellStyle name="Percent 2" xfId="8"/>
    <cellStyle name="Percent 3" xfId="12"/>
    <cellStyle name="Style 1" xfId="9"/>
  </cellStyles>
  <dxfs count="0"/>
  <tableStyles count="0" defaultTableStyle="TableStyleMedium9" defaultPivotStyle="PivotStyleLight16"/>
  <colors>
    <mruColors>
      <color rgb="FF00496A"/>
      <color rgb="FF4A4C4C"/>
      <color rgb="FF013554"/>
      <color rgb="FF001521"/>
      <color rgb="FF00A6A5"/>
      <color rgb="FF00C8C3"/>
      <color rgb="FF00A8A4"/>
      <color rgb="FF00DED9"/>
      <color rgb="FF00BCB8"/>
      <color rgb="FF00DA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DIVISION COST COMPARISON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'General Summary'!$B$4:$B$5</c:f>
              <c:strCache>
                <c:ptCount val="2"/>
                <c:pt idx="0">
                  <c:v>General Requirments</c:v>
                </c:pt>
                <c:pt idx="1">
                  <c:v>Finishes</c:v>
                </c:pt>
              </c:strCache>
            </c:strRef>
          </c:cat>
          <c:val>
            <c:numRef>
              <c:f>'General Summary'!$C$4:$C$5</c:f>
              <c:numCache>
                <c:formatCode>_("$"* #,##0_);_("$"* \(#,##0\);_("$"* "-"??_);_(@_)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DB-47F0-B7AD-29B0133F3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-1984706992"/>
        <c:axId val="-1984712976"/>
      </c:barChart>
      <c:catAx>
        <c:axId val="-19847069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84712976"/>
        <c:crosses val="autoZero"/>
        <c:auto val="1"/>
        <c:lblAlgn val="ctr"/>
        <c:lblOffset val="100"/>
        <c:noMultiLvlLbl val="0"/>
      </c:catAx>
      <c:valAx>
        <c:axId val="-1984712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98470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1543</xdr:colOff>
      <xdr:row>2</xdr:row>
      <xdr:rowOff>10886</xdr:rowOff>
    </xdr:from>
    <xdr:to>
      <xdr:col>14</xdr:col>
      <xdr:colOff>2969</xdr:colOff>
      <xdr:row>11</xdr:row>
      <xdr:rowOff>196496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457200</xdr:colOff>
      <xdr:row>1</xdr:row>
      <xdr:rowOff>0</xdr:rowOff>
    </xdr:from>
    <xdr:ext cx="184731" cy="283610"/>
    <xdr:sp macro="" textlink="">
      <xdr:nvSpPr>
        <xdr:cNvPr id="3" name="TextBox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194560" y="0"/>
          <a:ext cx="184150" cy="283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0</xdr:colOff>
      <xdr:row>1</xdr:row>
      <xdr:rowOff>0</xdr:rowOff>
    </xdr:from>
    <xdr:ext cx="184731" cy="283610"/>
    <xdr:sp macro="" textlink="">
      <xdr:nvSpPr>
        <xdr:cNvPr id="5" name="TextBox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737360" y="0"/>
          <a:ext cx="184150" cy="2832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Integral">
      <a:majorFont>
        <a:latin typeface="Tw Cen MT Condensed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N22"/>
  <sheetViews>
    <sheetView view="pageBreakPreview" zoomScale="70" zoomScaleNormal="100" workbookViewId="0">
      <selection activeCell="B5" sqref="B5"/>
    </sheetView>
  </sheetViews>
  <sheetFormatPr defaultColWidth="9" defaultRowHeight="14"/>
  <cols>
    <col min="1" max="1" width="38.33203125" style="4" customWidth="1"/>
    <col min="2" max="2" width="63.08203125" style="4" customWidth="1"/>
    <col min="3" max="3" width="17.58203125" style="5" customWidth="1"/>
    <col min="4" max="16384" width="9" style="4"/>
  </cols>
  <sheetData>
    <row r="1" spans="1:14" ht="20.5">
      <c r="A1" s="185" t="s">
        <v>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7"/>
    </row>
    <row r="2" spans="1:14" ht="17.5">
      <c r="A2" s="6"/>
      <c r="B2" s="6"/>
      <c r="C2" s="7"/>
      <c r="N2" s="25"/>
    </row>
    <row r="3" spans="1:14" ht="36">
      <c r="A3" s="8" t="s">
        <v>1</v>
      </c>
      <c r="B3" s="8" t="s">
        <v>2</v>
      </c>
      <c r="C3" s="8" t="s">
        <v>3</v>
      </c>
      <c r="N3" s="25"/>
    </row>
    <row r="4" spans="1:14" ht="15.5">
      <c r="A4" s="9">
        <v>1000</v>
      </c>
      <c r="B4" s="10" t="s">
        <v>4</v>
      </c>
      <c r="C4" s="11">
        <f>'Takeoff Breakdown'!Q18</f>
        <v>0</v>
      </c>
      <c r="N4" s="25"/>
    </row>
    <row r="5" spans="1:14" ht="16" thickBot="1">
      <c r="A5" s="12">
        <v>9000</v>
      </c>
      <c r="B5" s="13" t="s">
        <v>6</v>
      </c>
      <c r="C5" s="14" t="e">
        <f>'Takeoff Breakdown'!#REF!</f>
        <v>#REF!</v>
      </c>
      <c r="N5" s="25"/>
    </row>
    <row r="6" spans="1:14" ht="15.5" thickBot="1">
      <c r="A6" s="188" t="s">
        <v>10</v>
      </c>
      <c r="B6" s="188"/>
      <c r="C6" s="15" t="e">
        <f>SUM(C4:C5)</f>
        <v>#REF!</v>
      </c>
      <c r="E6" s="16"/>
      <c r="N6" s="25"/>
    </row>
    <row r="7" spans="1:14" ht="15">
      <c r="A7" s="189"/>
      <c r="B7" s="189"/>
      <c r="C7" s="189"/>
      <c r="N7" s="25"/>
    </row>
    <row r="8" spans="1:14" ht="15">
      <c r="A8" s="1" t="s">
        <v>11</v>
      </c>
      <c r="B8" s="17">
        <v>0.05</v>
      </c>
      <c r="C8" s="18" t="e">
        <f>C6*B8</f>
        <v>#REF!</v>
      </c>
      <c r="D8" s="16"/>
      <c r="E8" s="16"/>
      <c r="N8" s="25"/>
    </row>
    <row r="9" spans="1:14" ht="15">
      <c r="A9" s="1" t="s">
        <v>12</v>
      </c>
      <c r="B9" s="17">
        <v>0.1</v>
      </c>
      <c r="C9" s="18" t="e">
        <f>C6*B9</f>
        <v>#REF!</v>
      </c>
      <c r="N9" s="25"/>
    </row>
    <row r="10" spans="1:14" ht="15">
      <c r="A10" s="2" t="s">
        <v>13</v>
      </c>
      <c r="B10" s="19">
        <v>8.5000000000000006E-2</v>
      </c>
      <c r="C10" s="20" t="e">
        <f>C6*B10</f>
        <v>#REF!</v>
      </c>
      <c r="N10" s="25"/>
    </row>
    <row r="11" spans="1:14" ht="15">
      <c r="A11" s="3" t="s">
        <v>14</v>
      </c>
      <c r="B11" s="21">
        <v>1.4999999999999999E-2</v>
      </c>
      <c r="C11" s="22" t="e">
        <f>C6*B11</f>
        <v>#REF!</v>
      </c>
      <c r="N11" s="25"/>
    </row>
    <row r="12" spans="1:14" ht="15">
      <c r="A12" s="3" t="s">
        <v>15</v>
      </c>
      <c r="B12" s="21"/>
      <c r="C12" s="22" t="e">
        <f>SUM(C6,C8:C11)</f>
        <v>#REF!</v>
      </c>
      <c r="D12" s="23"/>
      <c r="E12" s="24"/>
      <c r="F12" s="24"/>
      <c r="G12" s="24"/>
      <c r="H12" s="24"/>
      <c r="I12" s="24"/>
      <c r="J12" s="24"/>
      <c r="K12" s="24"/>
      <c r="L12" s="24"/>
      <c r="M12" s="24"/>
      <c r="N12" s="26"/>
    </row>
    <row r="22" spans="3:3">
      <c r="C22" s="4"/>
    </row>
  </sheetData>
  <mergeCells count="3">
    <mergeCell ref="A1:N1"/>
    <mergeCell ref="A6:B6"/>
    <mergeCell ref="A7:C7"/>
  </mergeCells>
  <pageMargins left="0.7" right="0.7" top="0.75" bottom="0.75" header="0.3" footer="0.3"/>
  <pageSetup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AJ75"/>
  <sheetViews>
    <sheetView showGridLines="0" tabSelected="1" topLeftCell="A2" zoomScale="70" zoomScaleNormal="70" zoomScaleSheetLayoutView="85" workbookViewId="0">
      <pane ySplit="7" topLeftCell="A9" activePane="bottomLeft" state="frozen"/>
      <selection pane="bottomLeft" activeCell="D4" sqref="D4"/>
    </sheetView>
  </sheetViews>
  <sheetFormatPr defaultColWidth="9" defaultRowHeight="15.5"/>
  <cols>
    <col min="1" max="1" width="4.08203125" style="30" customWidth="1"/>
    <col min="2" max="2" width="9.25" style="30" customWidth="1"/>
    <col min="3" max="3" width="9.33203125" style="30" customWidth="1"/>
    <col min="4" max="4" width="68.83203125" style="30" customWidth="1"/>
    <col min="5" max="6" width="11.58203125" style="153" customWidth="1"/>
    <col min="7" max="7" width="14" style="153" customWidth="1"/>
    <col min="8" max="8" width="10.58203125" style="30" customWidth="1"/>
    <col min="9" max="10" width="14" style="153" customWidth="1"/>
    <col min="11" max="12" width="12.58203125" style="30" customWidth="1"/>
    <col min="13" max="13" width="14.33203125" style="30" customWidth="1"/>
    <col min="14" max="14" width="19.08203125" style="30" customWidth="1"/>
    <col min="15" max="15" width="14.75" style="30" customWidth="1"/>
    <col min="16" max="16" width="12.58203125" style="30" customWidth="1"/>
    <col min="17" max="17" width="15.25" style="101" customWidth="1"/>
    <col min="18" max="16384" width="9" style="30"/>
  </cols>
  <sheetData>
    <row r="1" spans="1:18" s="29" customFormat="1" ht="15" hidden="1" customHeight="1">
      <c r="A1" s="27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8" ht="19" thickBot="1">
      <c r="A2" s="192" t="s">
        <v>16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4"/>
    </row>
    <row r="3" spans="1:18" ht="17.5" customHeight="1">
      <c r="A3" s="31"/>
      <c r="B3" s="195" t="s">
        <v>17</v>
      </c>
      <c r="C3" s="195"/>
      <c r="E3" s="32"/>
      <c r="F3" s="32"/>
      <c r="G3" s="33"/>
      <c r="H3" s="33"/>
      <c r="I3" s="33"/>
      <c r="J3" s="33"/>
      <c r="K3" s="33"/>
      <c r="L3" s="33"/>
      <c r="M3" s="33"/>
      <c r="N3" s="33"/>
      <c r="O3" s="34"/>
      <c r="P3" s="35"/>
      <c r="Q3" s="36"/>
    </row>
    <row r="4" spans="1:18" ht="18" customHeight="1">
      <c r="A4" s="31"/>
      <c r="B4" s="196" t="s">
        <v>18</v>
      </c>
      <c r="C4" s="196"/>
      <c r="D4" s="101"/>
      <c r="E4" s="37"/>
      <c r="F4" s="37"/>
      <c r="G4" s="37"/>
      <c r="H4" s="38"/>
      <c r="I4" s="37"/>
      <c r="J4" s="37"/>
      <c r="K4" s="33"/>
      <c r="L4" s="33"/>
      <c r="M4" s="33"/>
      <c r="N4" s="33"/>
      <c r="O4" s="34"/>
      <c r="P4" s="35"/>
      <c r="Q4" s="36"/>
    </row>
    <row r="5" spans="1:18" ht="24" customHeight="1">
      <c r="A5" s="31"/>
      <c r="B5" s="197" t="s">
        <v>19</v>
      </c>
      <c r="C5" s="197"/>
      <c r="D5" s="30" t="s">
        <v>120</v>
      </c>
      <c r="E5" s="39"/>
      <c r="F5" s="37"/>
      <c r="G5" s="37"/>
      <c r="H5" s="39"/>
      <c r="I5" s="37"/>
      <c r="J5" s="37"/>
      <c r="K5" s="40"/>
      <c r="L5" s="40"/>
      <c r="M5" s="40"/>
      <c r="N5" s="40"/>
      <c r="O5" s="41"/>
      <c r="P5" s="42"/>
      <c r="Q5" s="36"/>
    </row>
    <row r="6" spans="1:18" ht="18" customHeight="1">
      <c r="A6" s="43"/>
      <c r="B6" s="44"/>
      <c r="C6" s="45"/>
      <c r="D6" s="39"/>
      <c r="E6" s="39"/>
      <c r="F6" s="37"/>
      <c r="G6" s="37"/>
      <c r="H6" s="39"/>
      <c r="I6" s="37"/>
      <c r="J6" s="37"/>
      <c r="K6" s="40"/>
      <c r="L6" s="40"/>
      <c r="M6" s="40"/>
      <c r="N6" s="40"/>
      <c r="O6" s="41"/>
      <c r="P6" s="42"/>
      <c r="Q6" s="36"/>
    </row>
    <row r="7" spans="1:18" ht="18.5">
      <c r="A7" s="46"/>
      <c r="B7" s="47"/>
      <c r="C7" s="47"/>
      <c r="D7" s="48"/>
      <c r="E7" s="37"/>
      <c r="F7" s="37"/>
      <c r="G7" s="37"/>
      <c r="H7" s="38"/>
      <c r="I7" s="37"/>
      <c r="J7" s="37"/>
      <c r="K7" s="33"/>
      <c r="L7" s="33"/>
      <c r="M7" s="33"/>
      <c r="N7" s="33"/>
      <c r="O7" s="33"/>
      <c r="P7" s="33"/>
      <c r="Q7" s="36">
        <v>45545</v>
      </c>
    </row>
    <row r="8" spans="1:18" s="29" customFormat="1" ht="59.5" customHeight="1">
      <c r="A8" s="49" t="s">
        <v>20</v>
      </c>
      <c r="B8" s="50" t="s">
        <v>21</v>
      </c>
      <c r="C8" s="50" t="s">
        <v>22</v>
      </c>
      <c r="D8" s="51" t="s">
        <v>2</v>
      </c>
      <c r="E8" s="50" t="s">
        <v>23</v>
      </c>
      <c r="F8" s="50" t="s">
        <v>24</v>
      </c>
      <c r="G8" s="50" t="s">
        <v>25</v>
      </c>
      <c r="H8" s="50" t="s">
        <v>26</v>
      </c>
      <c r="I8" s="50" t="s">
        <v>27</v>
      </c>
      <c r="J8" s="50" t="s">
        <v>28</v>
      </c>
      <c r="K8" s="50" t="s">
        <v>29</v>
      </c>
      <c r="L8" s="50" t="s">
        <v>33</v>
      </c>
      <c r="M8" s="50" t="s">
        <v>30</v>
      </c>
      <c r="N8" s="50" t="s">
        <v>31</v>
      </c>
      <c r="O8" s="50" t="s">
        <v>32</v>
      </c>
      <c r="P8" s="50" t="s">
        <v>112</v>
      </c>
      <c r="Q8" s="52" t="s">
        <v>34</v>
      </c>
    </row>
    <row r="9" spans="1:18" s="58" customFormat="1" ht="18" customHeight="1">
      <c r="A9" s="53"/>
      <c r="B9" s="54"/>
      <c r="C9" s="55">
        <v>1</v>
      </c>
      <c r="D9" s="56" t="s">
        <v>35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7"/>
    </row>
    <row r="10" spans="1:18" ht="18" customHeight="1">
      <c r="A10" s="59">
        <f>IF(F10&lt;&gt;"",1+MAX($A$2:A9),"")</f>
        <v>1</v>
      </c>
      <c r="B10" s="60"/>
      <c r="C10" s="60"/>
      <c r="D10" s="61" t="s">
        <v>36</v>
      </c>
      <c r="E10" s="62">
        <v>1</v>
      </c>
      <c r="F10" s="63">
        <v>0</v>
      </c>
      <c r="G10" s="64">
        <f t="shared" ref="G10:G16" si="0">(F10*E10)+E10</f>
        <v>1</v>
      </c>
      <c r="H10" s="62" t="s">
        <v>37</v>
      </c>
      <c r="I10" s="73">
        <v>0</v>
      </c>
      <c r="J10" s="74">
        <f t="shared" ref="J10:J16" si="1">+I10*G10</f>
        <v>0</v>
      </c>
      <c r="K10" s="75">
        <v>50</v>
      </c>
      <c r="L10" s="76">
        <f t="shared" ref="L10:L16" si="2">I10*K10</f>
        <v>0</v>
      </c>
      <c r="M10" s="76">
        <f t="shared" ref="M10:M16" si="3">K10*J10</f>
        <v>0</v>
      </c>
      <c r="N10" s="76">
        <v>0</v>
      </c>
      <c r="O10" s="76">
        <f t="shared" ref="O10:O16" si="4">N10*G10</f>
        <v>0</v>
      </c>
      <c r="P10" s="76">
        <f t="shared" ref="P10:P16" si="5">(I10*K10)+O10</f>
        <v>0</v>
      </c>
      <c r="Q10" s="65">
        <f t="shared" ref="Q10:Q16" si="6">P10*G10</f>
        <v>0</v>
      </c>
      <c r="R10" s="66"/>
    </row>
    <row r="11" spans="1:18" ht="18" customHeight="1">
      <c r="A11" s="67">
        <f>IF(F11&lt;&gt;"",1+MAX($A$2:A10),"")</f>
        <v>2</v>
      </c>
      <c r="B11" s="68"/>
      <c r="C11" s="68"/>
      <c r="D11" s="69" t="s">
        <v>38</v>
      </c>
      <c r="E11" s="70">
        <v>1</v>
      </c>
      <c r="F11" s="71">
        <v>0</v>
      </c>
      <c r="G11" s="72">
        <f t="shared" si="0"/>
        <v>1</v>
      </c>
      <c r="H11" s="70" t="s">
        <v>37</v>
      </c>
      <c r="I11" s="73">
        <v>0</v>
      </c>
      <c r="J11" s="74">
        <f t="shared" si="1"/>
        <v>0</v>
      </c>
      <c r="K11" s="75">
        <v>50</v>
      </c>
      <c r="L11" s="76">
        <f t="shared" si="2"/>
        <v>0</v>
      </c>
      <c r="M11" s="76">
        <f t="shared" si="3"/>
        <v>0</v>
      </c>
      <c r="N11" s="76">
        <v>0</v>
      </c>
      <c r="O11" s="76">
        <f t="shared" si="4"/>
        <v>0</v>
      </c>
      <c r="P11" s="76">
        <f t="shared" si="5"/>
        <v>0</v>
      </c>
      <c r="Q11" s="77">
        <f t="shared" si="6"/>
        <v>0</v>
      </c>
      <c r="R11" s="66"/>
    </row>
    <row r="12" spans="1:18" ht="18" customHeight="1">
      <c r="A12" s="67">
        <f>IF(F12&lt;&gt;"",1+MAX($A$2:A11),"")</f>
        <v>3</v>
      </c>
      <c r="B12" s="68"/>
      <c r="C12" s="68"/>
      <c r="D12" s="69" t="s">
        <v>39</v>
      </c>
      <c r="E12" s="70">
        <v>1</v>
      </c>
      <c r="F12" s="71">
        <v>0</v>
      </c>
      <c r="G12" s="72">
        <f t="shared" si="0"/>
        <v>1</v>
      </c>
      <c r="H12" s="70" t="s">
        <v>37</v>
      </c>
      <c r="I12" s="73">
        <v>0</v>
      </c>
      <c r="J12" s="74">
        <f t="shared" si="1"/>
        <v>0</v>
      </c>
      <c r="K12" s="75">
        <v>50</v>
      </c>
      <c r="L12" s="76">
        <f t="shared" si="2"/>
        <v>0</v>
      </c>
      <c r="M12" s="76">
        <f t="shared" si="3"/>
        <v>0</v>
      </c>
      <c r="N12" s="76">
        <v>0</v>
      </c>
      <c r="O12" s="76">
        <f t="shared" si="4"/>
        <v>0</v>
      </c>
      <c r="P12" s="76">
        <f t="shared" si="5"/>
        <v>0</v>
      </c>
      <c r="Q12" s="77">
        <f t="shared" si="6"/>
        <v>0</v>
      </c>
      <c r="R12" s="66"/>
    </row>
    <row r="13" spans="1:18" ht="18" customHeight="1">
      <c r="A13" s="67">
        <f>IF(F13&lt;&gt;"",1+MAX($A$2:A12),"")</f>
        <v>4</v>
      </c>
      <c r="B13" s="68"/>
      <c r="C13" s="68"/>
      <c r="D13" s="69" t="s">
        <v>40</v>
      </c>
      <c r="E13" s="70">
        <v>1</v>
      </c>
      <c r="F13" s="71">
        <v>0</v>
      </c>
      <c r="G13" s="72">
        <f t="shared" si="0"/>
        <v>1</v>
      </c>
      <c r="H13" s="70" t="s">
        <v>37</v>
      </c>
      <c r="I13" s="73">
        <v>0</v>
      </c>
      <c r="J13" s="74">
        <f t="shared" si="1"/>
        <v>0</v>
      </c>
      <c r="K13" s="75">
        <v>50</v>
      </c>
      <c r="L13" s="76">
        <f t="shared" si="2"/>
        <v>0</v>
      </c>
      <c r="M13" s="76">
        <f t="shared" si="3"/>
        <v>0</v>
      </c>
      <c r="N13" s="76">
        <v>0</v>
      </c>
      <c r="O13" s="76">
        <f t="shared" si="4"/>
        <v>0</v>
      </c>
      <c r="P13" s="76">
        <f t="shared" si="5"/>
        <v>0</v>
      </c>
      <c r="Q13" s="77">
        <f t="shared" si="6"/>
        <v>0</v>
      </c>
      <c r="R13" s="66"/>
    </row>
    <row r="14" spans="1:18" ht="18" customHeight="1">
      <c r="A14" s="67">
        <f>IF(F14&lt;&gt;"",1+MAX($A$2:A13),"")</f>
        <v>5</v>
      </c>
      <c r="B14" s="68"/>
      <c r="C14" s="68"/>
      <c r="D14" s="69" t="s">
        <v>41</v>
      </c>
      <c r="E14" s="70">
        <v>1</v>
      </c>
      <c r="F14" s="71">
        <v>0</v>
      </c>
      <c r="G14" s="72">
        <f t="shared" si="0"/>
        <v>1</v>
      </c>
      <c r="H14" s="70" t="s">
        <v>37</v>
      </c>
      <c r="I14" s="73">
        <v>0</v>
      </c>
      <c r="J14" s="74">
        <f t="shared" si="1"/>
        <v>0</v>
      </c>
      <c r="K14" s="75">
        <v>50</v>
      </c>
      <c r="L14" s="76">
        <f t="shared" si="2"/>
        <v>0</v>
      </c>
      <c r="M14" s="76">
        <f t="shared" si="3"/>
        <v>0</v>
      </c>
      <c r="N14" s="76">
        <v>0</v>
      </c>
      <c r="O14" s="76">
        <f t="shared" si="4"/>
        <v>0</v>
      </c>
      <c r="P14" s="76">
        <f t="shared" si="5"/>
        <v>0</v>
      </c>
      <c r="Q14" s="77">
        <f t="shared" si="6"/>
        <v>0</v>
      </c>
      <c r="R14" s="66"/>
    </row>
    <row r="15" spans="1:18" ht="18" customHeight="1">
      <c r="A15" s="67">
        <f>IF(F15&lt;&gt;"",1+MAX($A$2:A14),"")</f>
        <v>6</v>
      </c>
      <c r="B15" s="68"/>
      <c r="C15" s="68"/>
      <c r="D15" s="69" t="s">
        <v>42</v>
      </c>
      <c r="E15" s="70">
        <v>1</v>
      </c>
      <c r="F15" s="71">
        <v>0</v>
      </c>
      <c r="G15" s="72">
        <f t="shared" si="0"/>
        <v>1</v>
      </c>
      <c r="H15" s="70" t="s">
        <v>37</v>
      </c>
      <c r="I15" s="73">
        <v>0</v>
      </c>
      <c r="J15" s="74">
        <f t="shared" si="1"/>
        <v>0</v>
      </c>
      <c r="K15" s="75">
        <v>50</v>
      </c>
      <c r="L15" s="76">
        <f t="shared" si="2"/>
        <v>0</v>
      </c>
      <c r="M15" s="76">
        <f t="shared" si="3"/>
        <v>0</v>
      </c>
      <c r="N15" s="76">
        <v>0</v>
      </c>
      <c r="O15" s="76">
        <f t="shared" si="4"/>
        <v>0</v>
      </c>
      <c r="P15" s="76">
        <f t="shared" si="5"/>
        <v>0</v>
      </c>
      <c r="Q15" s="77">
        <f t="shared" si="6"/>
        <v>0</v>
      </c>
      <c r="R15" s="66"/>
    </row>
    <row r="16" spans="1:18" ht="18" customHeight="1">
      <c r="A16" s="67">
        <f>IF(F16&lt;&gt;"",1+MAX($A$2:A15),"")</f>
        <v>7</v>
      </c>
      <c r="B16" s="68"/>
      <c r="C16" s="68"/>
      <c r="D16" s="69" t="s">
        <v>43</v>
      </c>
      <c r="E16" s="70">
        <v>1</v>
      </c>
      <c r="F16" s="71">
        <v>0</v>
      </c>
      <c r="G16" s="72">
        <f t="shared" si="0"/>
        <v>1</v>
      </c>
      <c r="H16" s="70" t="s">
        <v>37</v>
      </c>
      <c r="I16" s="73">
        <v>0</v>
      </c>
      <c r="J16" s="74">
        <f t="shared" si="1"/>
        <v>0</v>
      </c>
      <c r="K16" s="75">
        <v>50</v>
      </c>
      <c r="L16" s="76">
        <f t="shared" si="2"/>
        <v>0</v>
      </c>
      <c r="M16" s="76">
        <f t="shared" si="3"/>
        <v>0</v>
      </c>
      <c r="N16" s="76">
        <v>0</v>
      </c>
      <c r="O16" s="76">
        <f t="shared" si="4"/>
        <v>0</v>
      </c>
      <c r="P16" s="76">
        <f t="shared" si="5"/>
        <v>0</v>
      </c>
      <c r="Q16" s="77">
        <f t="shared" si="6"/>
        <v>0</v>
      </c>
      <c r="R16" s="66"/>
    </row>
    <row r="17" spans="1:36" ht="18" customHeight="1" thickBot="1">
      <c r="A17" s="85"/>
      <c r="B17" s="83"/>
      <c r="C17" s="68"/>
      <c r="D17" s="69"/>
      <c r="E17" s="70"/>
      <c r="F17" s="71"/>
      <c r="G17" s="72"/>
      <c r="H17" s="84"/>
      <c r="I17" s="86"/>
      <c r="J17" s="74"/>
      <c r="K17" s="75"/>
      <c r="L17" s="76"/>
      <c r="M17" s="76"/>
      <c r="N17" s="76"/>
      <c r="O17" s="76"/>
      <c r="P17" s="87"/>
      <c r="Q17" s="88"/>
      <c r="R17" s="66"/>
    </row>
    <row r="18" spans="1:36" s="29" customFormat="1" ht="16" thickBot="1">
      <c r="A18" s="78" t="str">
        <f>IF(F18&lt;&gt;"",1+MAX($A$2:A16),"")</f>
        <v/>
      </c>
      <c r="B18" s="80"/>
      <c r="C18" s="89"/>
      <c r="D18" s="90" t="s">
        <v>44</v>
      </c>
      <c r="E18" s="91"/>
      <c r="F18" s="91"/>
      <c r="G18" s="91"/>
      <c r="H18" s="91"/>
      <c r="I18" s="91"/>
      <c r="J18" s="92"/>
      <c r="K18" s="92"/>
      <c r="L18" s="92"/>
      <c r="M18" s="92"/>
      <c r="N18" s="92"/>
      <c r="O18" s="93"/>
      <c r="P18" s="93"/>
      <c r="Q18" s="94">
        <f>SUM(Q10:Q16)</f>
        <v>0</v>
      </c>
      <c r="R18" s="81"/>
    </row>
    <row r="19" spans="1:36" s="29" customFormat="1">
      <c r="A19" s="78" t="str">
        <f>IF(F19&lt;&gt;"",1+MAX($A$2:A18),"")</f>
        <v/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82"/>
      <c r="R19" s="81"/>
    </row>
    <row r="20" spans="1:36" s="104" customFormat="1">
      <c r="A20" s="102" t="str">
        <f>IF(F20&lt;&gt;"",1+MAX($A$2:A19),"")</f>
        <v/>
      </c>
      <c r="B20" s="55"/>
      <c r="C20" s="55">
        <v>9</v>
      </c>
      <c r="D20" s="95" t="s">
        <v>50</v>
      </c>
      <c r="E20" s="55"/>
      <c r="F20" s="55"/>
      <c r="G20" s="55"/>
      <c r="H20" s="55"/>
      <c r="I20" s="55"/>
      <c r="J20" s="55"/>
      <c r="K20" s="55"/>
      <c r="L20" s="55" t="s">
        <v>51</v>
      </c>
      <c r="M20" s="55"/>
      <c r="N20" s="54"/>
      <c r="O20" s="54"/>
      <c r="P20" s="55"/>
      <c r="Q20" s="103"/>
      <c r="S20" s="105"/>
    </row>
    <row r="21" spans="1:36" s="104" customFormat="1" ht="14.65" customHeight="1">
      <c r="A21" s="106" t="str">
        <f>IF(F21&lt;&gt;"",1+MAX($A$2:A20),"")</f>
        <v/>
      </c>
      <c r="B21" s="110"/>
      <c r="C21" s="72"/>
      <c r="D21" s="99" t="s">
        <v>121</v>
      </c>
      <c r="E21" s="107"/>
      <c r="F21" s="107"/>
      <c r="G21" s="107"/>
      <c r="H21" s="107"/>
      <c r="I21" s="73"/>
      <c r="J21" s="98"/>
      <c r="K21" s="98"/>
      <c r="L21" s="76"/>
      <c r="M21" s="76"/>
      <c r="N21" s="76"/>
      <c r="O21" s="76"/>
      <c r="P21" s="76"/>
      <c r="Q21" s="108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</row>
    <row r="22" spans="1:36" s="104" customFormat="1" ht="46.5">
      <c r="A22" s="106">
        <f>IF(F22&lt;&gt;"",1+MAX($A$2:A21),"")</f>
        <v>8</v>
      </c>
      <c r="B22" s="110"/>
      <c r="C22" s="98"/>
      <c r="D22" s="112" t="s">
        <v>124</v>
      </c>
      <c r="E22" s="113">
        <v>900.06</v>
      </c>
      <c r="F22" s="96">
        <v>0.1</v>
      </c>
      <c r="G22" s="97">
        <f t="shared" ref="G22:G30" si="7">E22*(1+F22)</f>
        <v>990.06600000000003</v>
      </c>
      <c r="H22" s="98" t="s">
        <v>47</v>
      </c>
      <c r="I22" s="73">
        <v>0</v>
      </c>
      <c r="J22" s="74">
        <f t="shared" ref="J22:J30" si="8">+I22*G22</f>
        <v>0</v>
      </c>
      <c r="K22" s="75">
        <v>50</v>
      </c>
      <c r="L22" s="76">
        <f t="shared" ref="L22:L30" si="9">I22*K22</f>
        <v>0</v>
      </c>
      <c r="M22" s="76">
        <f t="shared" ref="M22:M30" si="10">K22*J22</f>
        <v>0</v>
      </c>
      <c r="N22" s="76">
        <v>0</v>
      </c>
      <c r="O22" s="76">
        <f t="shared" ref="O22:O30" si="11">N22*G22</f>
        <v>0</v>
      </c>
      <c r="P22" s="76">
        <f t="shared" ref="P22:P30" si="12">(I22*K22)+O22</f>
        <v>0</v>
      </c>
      <c r="Q22" s="65">
        <f t="shared" ref="Q22:Q30" si="13">P22*G22</f>
        <v>0</v>
      </c>
    </row>
    <row r="23" spans="1:36" s="104" customFormat="1" ht="31">
      <c r="A23" s="106">
        <f>IF(F23&lt;&gt;"",1+MAX($A$2:A22),"")</f>
        <v>9</v>
      </c>
      <c r="B23" s="110"/>
      <c r="C23" s="98"/>
      <c r="D23" s="112" t="s">
        <v>125</v>
      </c>
      <c r="E23" s="113">
        <v>451.92</v>
      </c>
      <c r="F23" s="96">
        <v>0.1</v>
      </c>
      <c r="G23" s="97">
        <f t="shared" si="7"/>
        <v>497.11200000000008</v>
      </c>
      <c r="H23" s="98" t="s">
        <v>47</v>
      </c>
      <c r="I23" s="73">
        <v>0</v>
      </c>
      <c r="J23" s="74">
        <f t="shared" si="8"/>
        <v>0</v>
      </c>
      <c r="K23" s="75">
        <v>50</v>
      </c>
      <c r="L23" s="76">
        <f t="shared" si="9"/>
        <v>0</v>
      </c>
      <c r="M23" s="76">
        <f t="shared" si="10"/>
        <v>0</v>
      </c>
      <c r="N23" s="76">
        <v>0</v>
      </c>
      <c r="O23" s="76">
        <f t="shared" si="11"/>
        <v>0</v>
      </c>
      <c r="P23" s="76">
        <f t="shared" si="12"/>
        <v>0</v>
      </c>
      <c r="Q23" s="65">
        <f t="shared" si="13"/>
        <v>0</v>
      </c>
    </row>
    <row r="24" spans="1:36" s="104" customFormat="1" ht="31">
      <c r="A24" s="106">
        <f>IF(F24&lt;&gt;"",1+MAX($A$2:A23),"")</f>
        <v>10</v>
      </c>
      <c r="B24" s="110"/>
      <c r="C24" s="98"/>
      <c r="D24" s="112" t="s">
        <v>126</v>
      </c>
      <c r="E24" s="113">
        <v>695.15</v>
      </c>
      <c r="F24" s="96">
        <v>0.1</v>
      </c>
      <c r="G24" s="97">
        <f t="shared" si="7"/>
        <v>764.66500000000008</v>
      </c>
      <c r="H24" s="98" t="s">
        <v>47</v>
      </c>
      <c r="I24" s="73">
        <v>0</v>
      </c>
      <c r="J24" s="74">
        <f t="shared" si="8"/>
        <v>0</v>
      </c>
      <c r="K24" s="75">
        <v>50</v>
      </c>
      <c r="L24" s="76">
        <f t="shared" si="9"/>
        <v>0</v>
      </c>
      <c r="M24" s="76">
        <f t="shared" si="10"/>
        <v>0</v>
      </c>
      <c r="N24" s="76">
        <v>0</v>
      </c>
      <c r="O24" s="76">
        <f t="shared" si="11"/>
        <v>0</v>
      </c>
      <c r="P24" s="76">
        <f t="shared" si="12"/>
        <v>0</v>
      </c>
      <c r="Q24" s="65">
        <f t="shared" si="13"/>
        <v>0</v>
      </c>
    </row>
    <row r="25" spans="1:36" s="104" customFormat="1" ht="31">
      <c r="A25" s="106">
        <f>IF(F25&lt;&gt;"",1+MAX($A$2:A21),"")</f>
        <v>8</v>
      </c>
      <c r="B25" s="110"/>
      <c r="C25" s="98"/>
      <c r="D25" s="112" t="s">
        <v>127</v>
      </c>
      <c r="E25" s="113">
        <v>145.66999999999999</v>
      </c>
      <c r="F25" s="96">
        <v>0.1</v>
      </c>
      <c r="G25" s="97">
        <f t="shared" ref="G25:G27" si="14">E25*(1+F25)</f>
        <v>160.23699999999999</v>
      </c>
      <c r="H25" s="98" t="s">
        <v>47</v>
      </c>
      <c r="I25" s="73">
        <v>0</v>
      </c>
      <c r="J25" s="74">
        <f t="shared" ref="J25:J27" si="15">+I25*G25</f>
        <v>0</v>
      </c>
      <c r="K25" s="75">
        <v>50</v>
      </c>
      <c r="L25" s="76">
        <f t="shared" ref="L25:L27" si="16">I25*K25</f>
        <v>0</v>
      </c>
      <c r="M25" s="76">
        <f t="shared" ref="M25:M27" si="17">K25*J25</f>
        <v>0</v>
      </c>
      <c r="N25" s="76">
        <v>0</v>
      </c>
      <c r="O25" s="76">
        <f t="shared" ref="O25:O27" si="18">N25*G25</f>
        <v>0</v>
      </c>
      <c r="P25" s="76">
        <f t="shared" ref="P25:P27" si="19">(I25*K25)+O25</f>
        <v>0</v>
      </c>
      <c r="Q25" s="65">
        <f t="shared" ref="Q25:Q27" si="20">P25*G25</f>
        <v>0</v>
      </c>
    </row>
    <row r="26" spans="1:36" s="104" customFormat="1" ht="31">
      <c r="A26" s="106">
        <f>IF(F26&lt;&gt;"",1+MAX($A$2:A25),"")</f>
        <v>11</v>
      </c>
      <c r="B26" s="110"/>
      <c r="C26" s="98"/>
      <c r="D26" s="112" t="s">
        <v>128</v>
      </c>
      <c r="E26" s="113">
        <v>190</v>
      </c>
      <c r="F26" s="96">
        <v>0.1</v>
      </c>
      <c r="G26" s="97">
        <f t="shared" si="14"/>
        <v>209.00000000000003</v>
      </c>
      <c r="H26" s="98" t="s">
        <v>47</v>
      </c>
      <c r="I26" s="73">
        <v>0</v>
      </c>
      <c r="J26" s="74">
        <f t="shared" si="15"/>
        <v>0</v>
      </c>
      <c r="K26" s="75">
        <v>50</v>
      </c>
      <c r="L26" s="76">
        <f t="shared" si="16"/>
        <v>0</v>
      </c>
      <c r="M26" s="76">
        <f t="shared" si="17"/>
        <v>0</v>
      </c>
      <c r="N26" s="76">
        <v>0</v>
      </c>
      <c r="O26" s="76">
        <f t="shared" si="18"/>
        <v>0</v>
      </c>
      <c r="P26" s="76">
        <f t="shared" si="19"/>
        <v>0</v>
      </c>
      <c r="Q26" s="65">
        <f t="shared" si="20"/>
        <v>0</v>
      </c>
    </row>
    <row r="27" spans="1:36" s="104" customFormat="1">
      <c r="A27" s="106">
        <f>IF(F27&lt;&gt;"",1+MAX($A$2:A26),"")</f>
        <v>12</v>
      </c>
      <c r="B27" s="110"/>
      <c r="C27" s="98"/>
      <c r="D27" s="112" t="s">
        <v>129</v>
      </c>
      <c r="E27" s="113">
        <v>17.32</v>
      </c>
      <c r="F27" s="96">
        <v>0.1</v>
      </c>
      <c r="G27" s="97">
        <f t="shared" si="14"/>
        <v>19.052000000000003</v>
      </c>
      <c r="H27" s="98" t="s">
        <v>47</v>
      </c>
      <c r="I27" s="73">
        <v>0</v>
      </c>
      <c r="J27" s="74">
        <f t="shared" si="15"/>
        <v>0</v>
      </c>
      <c r="K27" s="75">
        <v>50</v>
      </c>
      <c r="L27" s="76">
        <f t="shared" si="16"/>
        <v>0</v>
      </c>
      <c r="M27" s="76">
        <f t="shared" si="17"/>
        <v>0</v>
      </c>
      <c r="N27" s="76">
        <v>0</v>
      </c>
      <c r="O27" s="76">
        <f t="shared" si="18"/>
        <v>0</v>
      </c>
      <c r="P27" s="76">
        <f t="shared" si="19"/>
        <v>0</v>
      </c>
      <c r="Q27" s="65">
        <f t="shared" si="20"/>
        <v>0</v>
      </c>
    </row>
    <row r="28" spans="1:36" s="104" customFormat="1">
      <c r="A28" s="106">
        <f>IF(F28&lt;&gt;"",1+MAX($A$2:A24),"")</f>
        <v>11</v>
      </c>
      <c r="B28" s="110"/>
      <c r="C28" s="98"/>
      <c r="D28" s="112" t="s">
        <v>130</v>
      </c>
      <c r="E28" s="113">
        <v>37.06</v>
      </c>
      <c r="F28" s="96">
        <v>0.1</v>
      </c>
      <c r="G28" s="97">
        <f t="shared" si="7"/>
        <v>40.766000000000005</v>
      </c>
      <c r="H28" s="98" t="s">
        <v>47</v>
      </c>
      <c r="I28" s="73">
        <v>0</v>
      </c>
      <c r="J28" s="74">
        <f t="shared" si="8"/>
        <v>0</v>
      </c>
      <c r="K28" s="75">
        <v>50</v>
      </c>
      <c r="L28" s="76">
        <f t="shared" si="9"/>
        <v>0</v>
      </c>
      <c r="M28" s="76">
        <f t="shared" si="10"/>
        <v>0</v>
      </c>
      <c r="N28" s="76">
        <v>0</v>
      </c>
      <c r="O28" s="76">
        <f t="shared" si="11"/>
        <v>0</v>
      </c>
      <c r="P28" s="76">
        <f t="shared" si="12"/>
        <v>0</v>
      </c>
      <c r="Q28" s="65">
        <f t="shared" si="13"/>
        <v>0</v>
      </c>
    </row>
    <row r="29" spans="1:36" s="104" customFormat="1">
      <c r="A29" s="106">
        <f>IF(F29&lt;&gt;"",1+MAX($A$2:A28),"")</f>
        <v>13</v>
      </c>
      <c r="B29" s="110"/>
      <c r="C29" s="98"/>
      <c r="D29" s="112" t="s">
        <v>131</v>
      </c>
      <c r="E29" s="113">
        <v>30.49</v>
      </c>
      <c r="F29" s="96">
        <v>0.1</v>
      </c>
      <c r="G29" s="97">
        <f t="shared" si="7"/>
        <v>33.539000000000001</v>
      </c>
      <c r="H29" s="98" t="s">
        <v>47</v>
      </c>
      <c r="I29" s="73">
        <v>0</v>
      </c>
      <c r="J29" s="74">
        <f t="shared" si="8"/>
        <v>0</v>
      </c>
      <c r="K29" s="75">
        <v>50</v>
      </c>
      <c r="L29" s="76">
        <f t="shared" si="9"/>
        <v>0</v>
      </c>
      <c r="M29" s="76">
        <f t="shared" si="10"/>
        <v>0</v>
      </c>
      <c r="N29" s="76">
        <v>0</v>
      </c>
      <c r="O29" s="76">
        <f t="shared" si="11"/>
        <v>0</v>
      </c>
      <c r="P29" s="76">
        <f t="shared" si="12"/>
        <v>0</v>
      </c>
      <c r="Q29" s="65">
        <f t="shared" si="13"/>
        <v>0</v>
      </c>
    </row>
    <row r="30" spans="1:36" s="104" customFormat="1">
      <c r="A30" s="106">
        <f>IF(F30&lt;&gt;"",1+MAX($A$2:A29),"")</f>
        <v>14</v>
      </c>
      <c r="B30" s="110"/>
      <c r="C30" s="98"/>
      <c r="D30" s="112" t="s">
        <v>132</v>
      </c>
      <c r="E30" s="113">
        <v>14.62</v>
      </c>
      <c r="F30" s="96">
        <v>0.1</v>
      </c>
      <c r="G30" s="97">
        <f t="shared" si="7"/>
        <v>16.082000000000001</v>
      </c>
      <c r="H30" s="98" t="s">
        <v>47</v>
      </c>
      <c r="I30" s="73">
        <v>0</v>
      </c>
      <c r="J30" s="74">
        <f t="shared" si="8"/>
        <v>0</v>
      </c>
      <c r="K30" s="75">
        <v>50</v>
      </c>
      <c r="L30" s="76">
        <f t="shared" si="9"/>
        <v>0</v>
      </c>
      <c r="M30" s="76">
        <f t="shared" si="10"/>
        <v>0</v>
      </c>
      <c r="N30" s="76">
        <v>0</v>
      </c>
      <c r="O30" s="76">
        <f t="shared" si="11"/>
        <v>0</v>
      </c>
      <c r="P30" s="76">
        <f t="shared" si="12"/>
        <v>0</v>
      </c>
      <c r="Q30" s="65">
        <f t="shared" si="13"/>
        <v>0</v>
      </c>
    </row>
    <row r="31" spans="1:36" s="104" customFormat="1">
      <c r="A31" s="106" t="str">
        <f>IF(F31&lt;&gt;"",1+MAX($A$2:A30),"")</f>
        <v/>
      </c>
      <c r="B31" s="110"/>
      <c r="C31" s="98"/>
      <c r="D31" s="100"/>
      <c r="E31" s="111"/>
      <c r="F31" s="96"/>
      <c r="G31" s="97"/>
      <c r="H31" s="98"/>
      <c r="I31" s="73"/>
      <c r="J31" s="74"/>
      <c r="K31" s="75"/>
      <c r="L31" s="76"/>
      <c r="M31" s="76"/>
      <c r="N31" s="76"/>
      <c r="O31" s="76"/>
      <c r="P31" s="76"/>
      <c r="Q31" s="108"/>
    </row>
    <row r="32" spans="1:36" s="104" customFormat="1" ht="21" customHeight="1">
      <c r="A32" s="106" t="str">
        <f>IF(F32&lt;&gt;"",1+MAX($A$2:A31),"")</f>
        <v/>
      </c>
      <c r="B32" s="110"/>
      <c r="C32" s="72"/>
      <c r="D32" s="99" t="s">
        <v>133</v>
      </c>
      <c r="E32" s="107"/>
      <c r="F32" s="107"/>
      <c r="G32" s="107"/>
      <c r="H32" s="107"/>
      <c r="I32" s="73"/>
      <c r="J32" s="98"/>
      <c r="K32" s="98"/>
      <c r="L32" s="76"/>
      <c r="M32" s="76"/>
      <c r="N32" s="76"/>
      <c r="O32" s="76"/>
      <c r="P32" s="76"/>
      <c r="Q32" s="108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</row>
    <row r="33" spans="1:36" s="104" customFormat="1" ht="31">
      <c r="A33" s="106">
        <f>IF(F33&lt;&gt;"",1+MAX($A$2:A32),"")</f>
        <v>15</v>
      </c>
      <c r="B33" s="110"/>
      <c r="C33" s="98"/>
      <c r="D33" s="112" t="s">
        <v>134</v>
      </c>
      <c r="E33" s="113">
        <v>7.71</v>
      </c>
      <c r="F33" s="96">
        <v>0.1</v>
      </c>
      <c r="G33" s="97">
        <f t="shared" ref="G33:G35" si="21">E33*(1+F33)</f>
        <v>8.4809999999999999</v>
      </c>
      <c r="H33" s="98" t="s">
        <v>47</v>
      </c>
      <c r="I33" s="73">
        <v>0</v>
      </c>
      <c r="J33" s="74">
        <f t="shared" ref="J33:J35" si="22">+I33*G33</f>
        <v>0</v>
      </c>
      <c r="K33" s="75">
        <v>50</v>
      </c>
      <c r="L33" s="76">
        <f t="shared" ref="L33:L35" si="23">I33*K33</f>
        <v>0</v>
      </c>
      <c r="M33" s="76">
        <f t="shared" ref="M33:M35" si="24">K33*J33</f>
        <v>0</v>
      </c>
      <c r="N33" s="76">
        <v>0</v>
      </c>
      <c r="O33" s="76">
        <f t="shared" ref="O33:O35" si="25">N33*G33</f>
        <v>0</v>
      </c>
      <c r="P33" s="76">
        <f t="shared" ref="P33:P35" si="26">(I33*K33)+O33</f>
        <v>0</v>
      </c>
      <c r="Q33" s="65">
        <f t="shared" ref="Q33:Q35" si="27">P33*G33</f>
        <v>0</v>
      </c>
    </row>
    <row r="34" spans="1:36" s="104" customFormat="1" ht="31">
      <c r="A34" s="106">
        <f>IF(F34&lt;&gt;"",1+MAX($A$2:A33),"")</f>
        <v>16</v>
      </c>
      <c r="B34" s="110"/>
      <c r="C34" s="98"/>
      <c r="D34" s="112" t="s">
        <v>135</v>
      </c>
      <c r="E34" s="113">
        <v>15.49</v>
      </c>
      <c r="F34" s="96">
        <v>0.1</v>
      </c>
      <c r="G34" s="97">
        <f t="shared" si="21"/>
        <v>17.039000000000001</v>
      </c>
      <c r="H34" s="98" t="s">
        <v>47</v>
      </c>
      <c r="I34" s="73">
        <v>0</v>
      </c>
      <c r="J34" s="74">
        <f t="shared" si="22"/>
        <v>0</v>
      </c>
      <c r="K34" s="75">
        <v>50</v>
      </c>
      <c r="L34" s="76">
        <f t="shared" si="23"/>
        <v>0</v>
      </c>
      <c r="M34" s="76">
        <f t="shared" si="24"/>
        <v>0</v>
      </c>
      <c r="N34" s="76">
        <v>0</v>
      </c>
      <c r="O34" s="76">
        <f t="shared" si="25"/>
        <v>0</v>
      </c>
      <c r="P34" s="76">
        <f t="shared" si="26"/>
        <v>0</v>
      </c>
      <c r="Q34" s="65">
        <f t="shared" si="27"/>
        <v>0</v>
      </c>
    </row>
    <row r="35" spans="1:36" s="104" customFormat="1">
      <c r="A35" s="106">
        <f>IF(F35&lt;&gt;"",1+MAX($A$2:A34),"")</f>
        <v>17</v>
      </c>
      <c r="B35" s="110"/>
      <c r="C35" s="98"/>
      <c r="D35" s="112" t="s">
        <v>136</v>
      </c>
      <c r="E35" s="113">
        <v>36.31</v>
      </c>
      <c r="F35" s="96">
        <v>0.1</v>
      </c>
      <c r="G35" s="97">
        <f t="shared" si="21"/>
        <v>39.941000000000003</v>
      </c>
      <c r="H35" s="98" t="s">
        <v>47</v>
      </c>
      <c r="I35" s="73">
        <v>0</v>
      </c>
      <c r="J35" s="74">
        <f t="shared" si="22"/>
        <v>0</v>
      </c>
      <c r="K35" s="75">
        <v>50</v>
      </c>
      <c r="L35" s="76">
        <f t="shared" si="23"/>
        <v>0</v>
      </c>
      <c r="M35" s="76">
        <f t="shared" si="24"/>
        <v>0</v>
      </c>
      <c r="N35" s="76">
        <v>0</v>
      </c>
      <c r="O35" s="76">
        <f t="shared" si="25"/>
        <v>0</v>
      </c>
      <c r="P35" s="76">
        <f t="shared" si="26"/>
        <v>0</v>
      </c>
      <c r="Q35" s="65">
        <f t="shared" si="27"/>
        <v>0</v>
      </c>
    </row>
    <row r="36" spans="1:36" s="104" customFormat="1">
      <c r="A36" s="106" t="str">
        <f>IF(F36&lt;&gt;"",1+MAX($A$2:A35),"")</f>
        <v/>
      </c>
      <c r="B36" s="110"/>
      <c r="C36" s="98"/>
      <c r="D36" s="100"/>
      <c r="E36" s="111"/>
      <c r="F36" s="96"/>
      <c r="G36" s="97"/>
      <c r="H36" s="98"/>
      <c r="I36" s="73"/>
      <c r="J36" s="74"/>
      <c r="K36" s="75"/>
      <c r="L36" s="76"/>
      <c r="M36" s="76"/>
      <c r="N36" s="76"/>
      <c r="O36" s="76"/>
      <c r="P36" s="76"/>
      <c r="Q36" s="108"/>
    </row>
    <row r="37" spans="1:36" s="104" customFormat="1" ht="14.65" customHeight="1">
      <c r="A37" s="106" t="str">
        <f>IF(F37&lt;&gt;"",1+MAX($A$2:A31),"")</f>
        <v/>
      </c>
      <c r="B37" s="110"/>
      <c r="C37" s="72"/>
      <c r="D37" s="99" t="s">
        <v>123</v>
      </c>
      <c r="E37" s="107"/>
      <c r="F37" s="107"/>
      <c r="G37" s="107"/>
      <c r="H37" s="107"/>
      <c r="I37" s="73"/>
      <c r="J37" s="98"/>
      <c r="K37" s="98"/>
      <c r="L37" s="76"/>
      <c r="M37" s="76"/>
      <c r="N37" s="76"/>
      <c r="O37" s="76"/>
      <c r="P37" s="76"/>
      <c r="Q37" s="108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</row>
    <row r="38" spans="1:36" s="104" customFormat="1" ht="31">
      <c r="A38" s="106">
        <f>IF(F38&lt;&gt;"",1+MAX($A$2:A37),"")</f>
        <v>18</v>
      </c>
      <c r="B38" s="110"/>
      <c r="C38" s="98"/>
      <c r="D38" s="112" t="s">
        <v>137</v>
      </c>
      <c r="E38" s="113">
        <v>418.21</v>
      </c>
      <c r="F38" s="96">
        <v>0.05</v>
      </c>
      <c r="G38" s="97">
        <f t="shared" ref="G38:G39" si="28">E38*(1+F38)</f>
        <v>439.12049999999999</v>
      </c>
      <c r="H38" s="98" t="s">
        <v>49</v>
      </c>
      <c r="I38" s="73">
        <v>0</v>
      </c>
      <c r="J38" s="74">
        <f t="shared" ref="J38:J39" si="29">+I38*G38</f>
        <v>0</v>
      </c>
      <c r="K38" s="75">
        <v>50</v>
      </c>
      <c r="L38" s="76">
        <f t="shared" ref="L38:L39" si="30">I38*K38</f>
        <v>0</v>
      </c>
      <c r="M38" s="76">
        <f t="shared" ref="M38:M39" si="31">K38*J38</f>
        <v>0</v>
      </c>
      <c r="N38" s="76">
        <v>0</v>
      </c>
      <c r="O38" s="76">
        <f t="shared" ref="O38:O39" si="32">N38*G38</f>
        <v>0</v>
      </c>
      <c r="P38" s="76">
        <f t="shared" ref="P38:P39" si="33">(I38*K38)+O38</f>
        <v>0</v>
      </c>
      <c r="Q38" s="65">
        <f t="shared" ref="Q38:Q39" si="34">P38*G38</f>
        <v>0</v>
      </c>
    </row>
    <row r="39" spans="1:36" s="104" customFormat="1">
      <c r="A39" s="106">
        <f>IF(F39&lt;&gt;"",1+MAX($A$2:A38),"")</f>
        <v>19</v>
      </c>
      <c r="B39" s="110"/>
      <c r="C39" s="98"/>
      <c r="D39" s="112" t="s">
        <v>138</v>
      </c>
      <c r="E39" s="113">
        <v>138.22</v>
      </c>
      <c r="F39" s="96">
        <v>0.05</v>
      </c>
      <c r="G39" s="97">
        <f t="shared" si="28"/>
        <v>145.131</v>
      </c>
      <c r="H39" s="98" t="s">
        <v>49</v>
      </c>
      <c r="I39" s="73">
        <v>0</v>
      </c>
      <c r="J39" s="74">
        <f t="shared" si="29"/>
        <v>0</v>
      </c>
      <c r="K39" s="75">
        <v>50</v>
      </c>
      <c r="L39" s="76">
        <f t="shared" si="30"/>
        <v>0</v>
      </c>
      <c r="M39" s="76">
        <f t="shared" si="31"/>
        <v>0</v>
      </c>
      <c r="N39" s="76">
        <v>0</v>
      </c>
      <c r="O39" s="76">
        <f t="shared" si="32"/>
        <v>0</v>
      </c>
      <c r="P39" s="76">
        <f t="shared" si="33"/>
        <v>0</v>
      </c>
      <c r="Q39" s="65">
        <f t="shared" si="34"/>
        <v>0</v>
      </c>
    </row>
    <row r="40" spans="1:36" s="104" customFormat="1">
      <c r="A40" s="106" t="str">
        <f>IF(F40&lt;&gt;"",1+MAX($A$2:A39),"")</f>
        <v/>
      </c>
      <c r="B40" s="110"/>
      <c r="C40" s="98"/>
      <c r="D40" s="100"/>
      <c r="E40" s="111"/>
      <c r="F40" s="96"/>
      <c r="G40" s="97"/>
      <c r="H40" s="98"/>
      <c r="I40" s="73"/>
      <c r="J40" s="74"/>
      <c r="K40" s="75"/>
      <c r="L40" s="76"/>
      <c r="M40" s="76"/>
      <c r="N40" s="76"/>
      <c r="O40" s="76"/>
      <c r="P40" s="76"/>
      <c r="Q40" s="108"/>
    </row>
    <row r="41" spans="1:36" s="104" customFormat="1" ht="14.65" customHeight="1">
      <c r="A41" s="106" t="str">
        <f>IF(F41&lt;&gt;"",1+MAX($A$2:A35),"")</f>
        <v/>
      </c>
      <c r="B41" s="110"/>
      <c r="C41" s="72"/>
      <c r="D41" s="99" t="s">
        <v>139</v>
      </c>
      <c r="E41" s="107"/>
      <c r="F41" s="107"/>
      <c r="G41" s="107"/>
      <c r="H41" s="107"/>
      <c r="I41" s="73"/>
      <c r="J41" s="98"/>
      <c r="K41" s="98"/>
      <c r="L41" s="76"/>
      <c r="M41" s="76"/>
      <c r="N41" s="76"/>
      <c r="O41" s="76"/>
      <c r="P41" s="76"/>
      <c r="Q41" s="108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</row>
    <row r="42" spans="1:36" s="104" customFormat="1">
      <c r="A42" s="106">
        <f>IF(F42&lt;&gt;"",1+MAX($A$2:A41),"")</f>
        <v>20</v>
      </c>
      <c r="B42" s="110"/>
      <c r="C42" s="98"/>
      <c r="D42" s="112" t="s">
        <v>122</v>
      </c>
      <c r="E42" s="113">
        <v>24.92</v>
      </c>
      <c r="F42" s="96">
        <v>0.05</v>
      </c>
      <c r="G42" s="97">
        <f t="shared" ref="G42" si="35">E42*(1+F42)</f>
        <v>26.166000000000004</v>
      </c>
      <c r="H42" s="98" t="s">
        <v>49</v>
      </c>
      <c r="I42" s="73">
        <v>0</v>
      </c>
      <c r="J42" s="74">
        <f t="shared" ref="J42" si="36">+I42*G42</f>
        <v>0</v>
      </c>
      <c r="K42" s="75">
        <v>50</v>
      </c>
      <c r="L42" s="76">
        <f t="shared" ref="L42" si="37">I42*K42</f>
        <v>0</v>
      </c>
      <c r="M42" s="76">
        <f t="shared" ref="M42" si="38">K42*J42</f>
        <v>0</v>
      </c>
      <c r="N42" s="76">
        <v>0</v>
      </c>
      <c r="O42" s="76">
        <f t="shared" ref="O42" si="39">N42*G42</f>
        <v>0</v>
      </c>
      <c r="P42" s="76">
        <f t="shared" ref="P42" si="40">(I42*K42)+O42</f>
        <v>0</v>
      </c>
      <c r="Q42" s="65">
        <f t="shared" ref="Q42" si="41">P42*G42</f>
        <v>0</v>
      </c>
    </row>
    <row r="43" spans="1:36" s="104" customFormat="1">
      <c r="A43" s="106" t="str">
        <f>IF(F43&lt;&gt;"",1+MAX($A$2:A42),"")</f>
        <v/>
      </c>
      <c r="B43" s="110"/>
      <c r="C43" s="98"/>
      <c r="D43" s="100"/>
      <c r="E43" s="111"/>
      <c r="F43" s="96"/>
      <c r="G43" s="97"/>
      <c r="H43" s="98"/>
      <c r="I43" s="73"/>
      <c r="J43" s="74"/>
      <c r="K43" s="75"/>
      <c r="L43" s="76"/>
      <c r="M43" s="76"/>
      <c r="N43" s="76"/>
      <c r="O43" s="76"/>
      <c r="P43" s="76"/>
      <c r="Q43" s="108"/>
    </row>
    <row r="44" spans="1:36" s="104" customFormat="1" ht="22.5" customHeight="1">
      <c r="A44" s="106" t="str">
        <f>IF(F44&lt;&gt;"",1+MAX($A$2:A43),"")</f>
        <v/>
      </c>
      <c r="B44" s="110"/>
      <c r="C44" s="72"/>
      <c r="D44" s="99" t="s">
        <v>140</v>
      </c>
      <c r="E44" s="107"/>
      <c r="F44" s="107"/>
      <c r="G44" s="107"/>
      <c r="H44" s="107"/>
      <c r="I44" s="73"/>
      <c r="J44" s="98"/>
      <c r="K44" s="98"/>
      <c r="L44" s="76"/>
      <c r="M44" s="76"/>
      <c r="N44" s="76"/>
      <c r="O44" s="76"/>
      <c r="P44" s="76"/>
      <c r="Q44" s="108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</row>
    <row r="45" spans="1:36" s="104" customFormat="1">
      <c r="A45" s="106">
        <f>IF(F45&lt;&gt;"",1+MAX($A$2:A44),"")</f>
        <v>21</v>
      </c>
      <c r="B45" s="110"/>
      <c r="C45" s="98"/>
      <c r="D45" s="112" t="s">
        <v>144</v>
      </c>
      <c r="E45" s="113">
        <v>613.62</v>
      </c>
      <c r="F45" s="96">
        <v>0.1</v>
      </c>
      <c r="G45" s="97">
        <f t="shared" ref="G45:G56" si="42">E45*(1+F45)</f>
        <v>674.98200000000008</v>
      </c>
      <c r="H45" s="98" t="s">
        <v>47</v>
      </c>
      <c r="I45" s="73">
        <v>0</v>
      </c>
      <c r="J45" s="74">
        <f t="shared" ref="J45:J56" si="43">+I45*G45</f>
        <v>0</v>
      </c>
      <c r="K45" s="75">
        <v>50</v>
      </c>
      <c r="L45" s="76">
        <f t="shared" ref="L45:L56" si="44">I45*K45</f>
        <v>0</v>
      </c>
      <c r="M45" s="76">
        <f t="shared" ref="M45:M56" si="45">K45*J45</f>
        <v>0</v>
      </c>
      <c r="N45" s="76">
        <v>0</v>
      </c>
      <c r="O45" s="76">
        <f t="shared" ref="O45:O56" si="46">N45*G45</f>
        <v>0</v>
      </c>
      <c r="P45" s="76">
        <f t="shared" ref="P45:P56" si="47">(I45*K45)+O45</f>
        <v>0</v>
      </c>
      <c r="Q45" s="65">
        <f t="shared" ref="Q45:Q56" si="48">P45*G45</f>
        <v>0</v>
      </c>
    </row>
    <row r="46" spans="1:36" s="104" customFormat="1">
      <c r="A46" s="106">
        <f>IF(F46&lt;&gt;"",1+MAX($A$2:A45),"")</f>
        <v>22</v>
      </c>
      <c r="B46" s="110"/>
      <c r="C46" s="98"/>
      <c r="D46" s="112" t="s">
        <v>145</v>
      </c>
      <c r="E46" s="113">
        <v>71.17</v>
      </c>
      <c r="F46" s="96">
        <v>0.1</v>
      </c>
      <c r="G46" s="97">
        <f t="shared" si="42"/>
        <v>78.287000000000006</v>
      </c>
      <c r="H46" s="98" t="s">
        <v>47</v>
      </c>
      <c r="I46" s="73">
        <v>0</v>
      </c>
      <c r="J46" s="74">
        <f t="shared" si="43"/>
        <v>0</v>
      </c>
      <c r="K46" s="75">
        <v>50</v>
      </c>
      <c r="L46" s="76">
        <f t="shared" si="44"/>
        <v>0</v>
      </c>
      <c r="M46" s="76">
        <f t="shared" si="45"/>
        <v>0</v>
      </c>
      <c r="N46" s="76">
        <v>0</v>
      </c>
      <c r="O46" s="76">
        <f t="shared" si="46"/>
        <v>0</v>
      </c>
      <c r="P46" s="76">
        <f t="shared" si="47"/>
        <v>0</v>
      </c>
      <c r="Q46" s="65">
        <f t="shared" si="48"/>
        <v>0</v>
      </c>
    </row>
    <row r="47" spans="1:36" s="104" customFormat="1" ht="46.5">
      <c r="A47" s="106">
        <f>IF(F47&lt;&gt;"",1+MAX($A$2:A46),"")</f>
        <v>23</v>
      </c>
      <c r="B47" s="110"/>
      <c r="C47" s="98"/>
      <c r="D47" s="112" t="s">
        <v>124</v>
      </c>
      <c r="E47" s="113">
        <v>2078.67</v>
      </c>
      <c r="F47" s="96">
        <v>0.1</v>
      </c>
      <c r="G47" s="97">
        <f t="shared" si="42"/>
        <v>2286.5370000000003</v>
      </c>
      <c r="H47" s="98" t="s">
        <v>47</v>
      </c>
      <c r="I47" s="73">
        <v>0</v>
      </c>
      <c r="J47" s="74">
        <f t="shared" si="43"/>
        <v>0</v>
      </c>
      <c r="K47" s="75">
        <v>50</v>
      </c>
      <c r="L47" s="76">
        <f t="shared" si="44"/>
        <v>0</v>
      </c>
      <c r="M47" s="76">
        <f t="shared" si="45"/>
        <v>0</v>
      </c>
      <c r="N47" s="76">
        <v>0</v>
      </c>
      <c r="O47" s="76">
        <f t="shared" si="46"/>
        <v>0</v>
      </c>
      <c r="P47" s="76">
        <f t="shared" si="47"/>
        <v>0</v>
      </c>
      <c r="Q47" s="65">
        <f t="shared" si="48"/>
        <v>0</v>
      </c>
    </row>
    <row r="48" spans="1:36" s="104" customFormat="1" ht="31">
      <c r="A48" s="106">
        <f>IF(F48&lt;&gt;"",1+MAX($A$2:A44),"")</f>
        <v>21</v>
      </c>
      <c r="B48" s="110"/>
      <c r="C48" s="98"/>
      <c r="D48" s="112" t="s">
        <v>125</v>
      </c>
      <c r="E48" s="113">
        <v>225.35</v>
      </c>
      <c r="F48" s="96">
        <v>0.1</v>
      </c>
      <c r="G48" s="97">
        <f t="shared" si="42"/>
        <v>247.88500000000002</v>
      </c>
      <c r="H48" s="98" t="s">
        <v>47</v>
      </c>
      <c r="I48" s="73">
        <v>0</v>
      </c>
      <c r="J48" s="74">
        <f t="shared" si="43"/>
        <v>0</v>
      </c>
      <c r="K48" s="75">
        <v>50</v>
      </c>
      <c r="L48" s="76">
        <f t="shared" si="44"/>
        <v>0</v>
      </c>
      <c r="M48" s="76">
        <f t="shared" si="45"/>
        <v>0</v>
      </c>
      <c r="N48" s="76">
        <v>0</v>
      </c>
      <c r="O48" s="76">
        <f t="shared" si="46"/>
        <v>0</v>
      </c>
      <c r="P48" s="76">
        <f t="shared" si="47"/>
        <v>0</v>
      </c>
      <c r="Q48" s="65">
        <f t="shared" si="48"/>
        <v>0</v>
      </c>
    </row>
    <row r="49" spans="1:36" s="104" customFormat="1">
      <c r="A49" s="106">
        <f>IF(F49&lt;&gt;"",1+MAX($A$2:A45),"")</f>
        <v>22</v>
      </c>
      <c r="B49" s="110"/>
      <c r="C49" s="98"/>
      <c r="D49" s="112" t="s">
        <v>146</v>
      </c>
      <c r="E49" s="113">
        <v>28.7</v>
      </c>
      <c r="F49" s="96">
        <v>0.1</v>
      </c>
      <c r="G49" s="97">
        <f t="shared" ref="G49:G51" si="49">E49*(1+F49)</f>
        <v>31.57</v>
      </c>
      <c r="H49" s="98" t="s">
        <v>47</v>
      </c>
      <c r="I49" s="73">
        <v>0</v>
      </c>
      <c r="J49" s="74">
        <f t="shared" ref="J49:J51" si="50">+I49*G49</f>
        <v>0</v>
      </c>
      <c r="K49" s="75">
        <v>50</v>
      </c>
      <c r="L49" s="76">
        <f t="shared" ref="L49:L51" si="51">I49*K49</f>
        <v>0</v>
      </c>
      <c r="M49" s="76">
        <f t="shared" ref="M49:M51" si="52">K49*J49</f>
        <v>0</v>
      </c>
      <c r="N49" s="76">
        <v>0</v>
      </c>
      <c r="O49" s="76">
        <f t="shared" ref="O49:O51" si="53">N49*G49</f>
        <v>0</v>
      </c>
      <c r="P49" s="76">
        <f t="shared" ref="P49:P51" si="54">(I49*K49)+O49</f>
        <v>0</v>
      </c>
      <c r="Q49" s="65">
        <f t="shared" ref="Q49:Q51" si="55">P49*G49</f>
        <v>0</v>
      </c>
    </row>
    <row r="50" spans="1:36" s="104" customFormat="1" ht="31">
      <c r="A50" s="106">
        <f>IF(F50&lt;&gt;"",1+MAX($A$2:A49),"")</f>
        <v>24</v>
      </c>
      <c r="B50" s="110"/>
      <c r="C50" s="98"/>
      <c r="D50" s="112" t="s">
        <v>147</v>
      </c>
      <c r="E50" s="113">
        <v>66.09</v>
      </c>
      <c r="F50" s="96">
        <v>0.1</v>
      </c>
      <c r="G50" s="97">
        <f t="shared" si="49"/>
        <v>72.699000000000012</v>
      </c>
      <c r="H50" s="98" t="s">
        <v>47</v>
      </c>
      <c r="I50" s="73">
        <v>0</v>
      </c>
      <c r="J50" s="74">
        <f t="shared" si="50"/>
        <v>0</v>
      </c>
      <c r="K50" s="75">
        <v>50</v>
      </c>
      <c r="L50" s="76">
        <f t="shared" si="51"/>
        <v>0</v>
      </c>
      <c r="M50" s="76">
        <f t="shared" si="52"/>
        <v>0</v>
      </c>
      <c r="N50" s="76">
        <v>0</v>
      </c>
      <c r="O50" s="76">
        <f t="shared" si="53"/>
        <v>0</v>
      </c>
      <c r="P50" s="76">
        <f t="shared" si="54"/>
        <v>0</v>
      </c>
      <c r="Q50" s="65">
        <f t="shared" si="55"/>
        <v>0</v>
      </c>
    </row>
    <row r="51" spans="1:36" s="104" customFormat="1" ht="31">
      <c r="A51" s="106">
        <f>IF(F51&lt;&gt;"",1+MAX($A$2:A44),"")</f>
        <v>21</v>
      </c>
      <c r="B51" s="110"/>
      <c r="C51" s="98"/>
      <c r="D51" s="112" t="s">
        <v>148</v>
      </c>
      <c r="E51" s="113">
        <v>69.56</v>
      </c>
      <c r="F51" s="96">
        <v>0.1</v>
      </c>
      <c r="G51" s="97">
        <f t="shared" si="49"/>
        <v>76.516000000000005</v>
      </c>
      <c r="H51" s="98" t="s">
        <v>47</v>
      </c>
      <c r="I51" s="73">
        <v>0</v>
      </c>
      <c r="J51" s="74">
        <f t="shared" si="50"/>
        <v>0</v>
      </c>
      <c r="K51" s="75">
        <v>50</v>
      </c>
      <c r="L51" s="76">
        <f t="shared" si="51"/>
        <v>0</v>
      </c>
      <c r="M51" s="76">
        <f t="shared" si="52"/>
        <v>0</v>
      </c>
      <c r="N51" s="76">
        <v>0</v>
      </c>
      <c r="O51" s="76">
        <f t="shared" si="53"/>
        <v>0</v>
      </c>
      <c r="P51" s="76">
        <f t="shared" si="54"/>
        <v>0</v>
      </c>
      <c r="Q51" s="65">
        <f t="shared" si="55"/>
        <v>0</v>
      </c>
    </row>
    <row r="52" spans="1:36" s="104" customFormat="1" ht="31">
      <c r="A52" s="106">
        <f>IF(F52&lt;&gt;"",1+MAX($A$2:A48),"")</f>
        <v>24</v>
      </c>
      <c r="B52" s="110"/>
      <c r="C52" s="98"/>
      <c r="D52" s="112" t="s">
        <v>149</v>
      </c>
      <c r="E52" s="113">
        <v>25.04</v>
      </c>
      <c r="F52" s="96">
        <v>0.1</v>
      </c>
      <c r="G52" s="97">
        <f t="shared" si="42"/>
        <v>27.544</v>
      </c>
      <c r="H52" s="98" t="s">
        <v>47</v>
      </c>
      <c r="I52" s="73">
        <v>0</v>
      </c>
      <c r="J52" s="74">
        <f t="shared" si="43"/>
        <v>0</v>
      </c>
      <c r="K52" s="75">
        <v>50</v>
      </c>
      <c r="L52" s="76">
        <f t="shared" si="44"/>
        <v>0</v>
      </c>
      <c r="M52" s="76">
        <f t="shared" si="45"/>
        <v>0</v>
      </c>
      <c r="N52" s="76">
        <v>0</v>
      </c>
      <c r="O52" s="76">
        <f t="shared" si="46"/>
        <v>0</v>
      </c>
      <c r="P52" s="76">
        <f t="shared" si="47"/>
        <v>0</v>
      </c>
      <c r="Q52" s="65">
        <f t="shared" si="48"/>
        <v>0</v>
      </c>
    </row>
    <row r="53" spans="1:36" s="104" customFormat="1" ht="31">
      <c r="A53" s="106">
        <f>IF(F53&lt;&gt;"",1+MAX($A$2:A52),"")</f>
        <v>25</v>
      </c>
      <c r="B53" s="110"/>
      <c r="C53" s="98"/>
      <c r="D53" s="112" t="s">
        <v>150</v>
      </c>
      <c r="E53" s="113">
        <v>200.07</v>
      </c>
      <c r="F53" s="96">
        <v>0.1</v>
      </c>
      <c r="G53" s="97">
        <f t="shared" si="42"/>
        <v>220.077</v>
      </c>
      <c r="H53" s="98" t="s">
        <v>47</v>
      </c>
      <c r="I53" s="73">
        <v>0</v>
      </c>
      <c r="J53" s="74">
        <f t="shared" si="43"/>
        <v>0</v>
      </c>
      <c r="K53" s="75">
        <v>50</v>
      </c>
      <c r="L53" s="76">
        <f t="shared" si="44"/>
        <v>0</v>
      </c>
      <c r="M53" s="76">
        <f t="shared" si="45"/>
        <v>0</v>
      </c>
      <c r="N53" s="76">
        <v>0</v>
      </c>
      <c r="O53" s="76">
        <f t="shared" si="46"/>
        <v>0</v>
      </c>
      <c r="P53" s="76">
        <f t="shared" si="47"/>
        <v>0</v>
      </c>
      <c r="Q53" s="65">
        <f t="shared" si="48"/>
        <v>0</v>
      </c>
    </row>
    <row r="54" spans="1:36" s="104" customFormat="1" ht="31">
      <c r="A54" s="106">
        <f>IF(F54&lt;&gt;"",1+MAX($A$2:A47),"")</f>
        <v>24</v>
      </c>
      <c r="B54" s="110"/>
      <c r="C54" s="98"/>
      <c r="D54" s="112" t="s">
        <v>151</v>
      </c>
      <c r="E54" s="113">
        <v>614.92999999999995</v>
      </c>
      <c r="F54" s="96">
        <v>0.1</v>
      </c>
      <c r="G54" s="97">
        <f t="shared" si="42"/>
        <v>676.423</v>
      </c>
      <c r="H54" s="98" t="s">
        <v>47</v>
      </c>
      <c r="I54" s="73">
        <v>0</v>
      </c>
      <c r="J54" s="74">
        <f t="shared" si="43"/>
        <v>0</v>
      </c>
      <c r="K54" s="75">
        <v>50</v>
      </c>
      <c r="L54" s="76">
        <f t="shared" si="44"/>
        <v>0</v>
      </c>
      <c r="M54" s="76">
        <f t="shared" si="45"/>
        <v>0</v>
      </c>
      <c r="N54" s="76">
        <v>0</v>
      </c>
      <c r="O54" s="76">
        <f t="shared" si="46"/>
        <v>0</v>
      </c>
      <c r="P54" s="76">
        <f t="shared" si="47"/>
        <v>0</v>
      </c>
      <c r="Q54" s="65">
        <f t="shared" si="48"/>
        <v>0</v>
      </c>
    </row>
    <row r="55" spans="1:36" s="104" customFormat="1" ht="31">
      <c r="A55" s="106">
        <f>IF(F55&lt;&gt;"",1+MAX($A$2:A54),"")</f>
        <v>26</v>
      </c>
      <c r="B55" s="110"/>
      <c r="C55" s="98"/>
      <c r="D55" s="112" t="s">
        <v>152</v>
      </c>
      <c r="E55" s="113">
        <v>395.67</v>
      </c>
      <c r="F55" s="96">
        <v>0.1</v>
      </c>
      <c r="G55" s="97">
        <f t="shared" si="42"/>
        <v>435.23700000000008</v>
      </c>
      <c r="H55" s="98" t="s">
        <v>47</v>
      </c>
      <c r="I55" s="73">
        <v>0</v>
      </c>
      <c r="J55" s="74">
        <f t="shared" si="43"/>
        <v>0</v>
      </c>
      <c r="K55" s="75">
        <v>50</v>
      </c>
      <c r="L55" s="76">
        <f t="shared" si="44"/>
        <v>0</v>
      </c>
      <c r="M55" s="76">
        <f t="shared" si="45"/>
        <v>0</v>
      </c>
      <c r="N55" s="76">
        <v>0</v>
      </c>
      <c r="O55" s="76">
        <f t="shared" si="46"/>
        <v>0</v>
      </c>
      <c r="P55" s="76">
        <f t="shared" si="47"/>
        <v>0</v>
      </c>
      <c r="Q55" s="65">
        <f t="shared" si="48"/>
        <v>0</v>
      </c>
    </row>
    <row r="56" spans="1:36" s="104" customFormat="1">
      <c r="A56" s="106">
        <f>IF(F56&lt;&gt;"",1+MAX($A$2:A55),"")</f>
        <v>27</v>
      </c>
      <c r="B56" s="110"/>
      <c r="C56" s="98"/>
      <c r="D56" s="112" t="s">
        <v>131</v>
      </c>
      <c r="E56" s="113">
        <v>44.97</v>
      </c>
      <c r="F56" s="96">
        <v>0.1</v>
      </c>
      <c r="G56" s="97">
        <f t="shared" si="42"/>
        <v>49.467000000000006</v>
      </c>
      <c r="H56" s="98" t="s">
        <v>47</v>
      </c>
      <c r="I56" s="73">
        <v>0</v>
      </c>
      <c r="J56" s="74">
        <f t="shared" si="43"/>
        <v>0</v>
      </c>
      <c r="K56" s="75">
        <v>50</v>
      </c>
      <c r="L56" s="76">
        <f t="shared" si="44"/>
        <v>0</v>
      </c>
      <c r="M56" s="76">
        <f t="shared" si="45"/>
        <v>0</v>
      </c>
      <c r="N56" s="76">
        <v>0</v>
      </c>
      <c r="O56" s="76">
        <f t="shared" si="46"/>
        <v>0</v>
      </c>
      <c r="P56" s="76">
        <f t="shared" si="47"/>
        <v>0</v>
      </c>
      <c r="Q56" s="65">
        <f t="shared" si="48"/>
        <v>0</v>
      </c>
    </row>
    <row r="57" spans="1:36" s="104" customFormat="1">
      <c r="A57" s="106" t="str">
        <f>IF(F57&lt;&gt;"",1+MAX($A$2:A56),"")</f>
        <v/>
      </c>
      <c r="B57" s="110"/>
      <c r="C57" s="98"/>
      <c r="D57" s="100"/>
      <c r="E57" s="111"/>
      <c r="F57" s="96"/>
      <c r="G57" s="97"/>
      <c r="H57" s="98"/>
      <c r="I57" s="73"/>
      <c r="J57" s="74"/>
      <c r="K57" s="75"/>
      <c r="L57" s="76"/>
      <c r="M57" s="76"/>
      <c r="N57" s="76"/>
      <c r="O57" s="76"/>
      <c r="P57" s="76"/>
      <c r="Q57" s="108"/>
    </row>
    <row r="58" spans="1:36" s="104" customFormat="1" ht="21" customHeight="1">
      <c r="A58" s="106" t="str">
        <f>IF(F58&lt;&gt;"",1+MAX($A$2:A57),"")</f>
        <v/>
      </c>
      <c r="B58" s="110"/>
      <c r="C58" s="72"/>
      <c r="D58" s="99" t="s">
        <v>141</v>
      </c>
      <c r="E58" s="107"/>
      <c r="F58" s="107"/>
      <c r="G58" s="107"/>
      <c r="H58" s="107"/>
      <c r="I58" s="73"/>
      <c r="J58" s="98"/>
      <c r="K58" s="98"/>
      <c r="L58" s="76"/>
      <c r="M58" s="76"/>
      <c r="N58" s="76"/>
      <c r="O58" s="76"/>
      <c r="P58" s="76"/>
      <c r="Q58" s="108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</row>
    <row r="59" spans="1:36" s="104" customFormat="1">
      <c r="A59" s="106">
        <f>IF(F59&lt;&gt;"",1+MAX($A$2:A58),"")</f>
        <v>28</v>
      </c>
      <c r="B59" s="110"/>
      <c r="C59" s="98"/>
      <c r="D59" s="112" t="s">
        <v>153</v>
      </c>
      <c r="E59" s="113">
        <v>116.77</v>
      </c>
      <c r="F59" s="96">
        <v>0.1</v>
      </c>
      <c r="G59" s="97">
        <f t="shared" ref="G59:G61" si="56">E59*(1+F59)</f>
        <v>128.447</v>
      </c>
      <c r="H59" s="98" t="s">
        <v>47</v>
      </c>
      <c r="I59" s="73">
        <v>0</v>
      </c>
      <c r="J59" s="74">
        <f t="shared" ref="J59:J61" si="57">+I59*G59</f>
        <v>0</v>
      </c>
      <c r="K59" s="75">
        <v>50</v>
      </c>
      <c r="L59" s="76">
        <f t="shared" ref="L59:L61" si="58">I59*K59</f>
        <v>0</v>
      </c>
      <c r="M59" s="76">
        <f t="shared" ref="M59:M61" si="59">K59*J59</f>
        <v>0</v>
      </c>
      <c r="N59" s="76">
        <v>0</v>
      </c>
      <c r="O59" s="76">
        <f t="shared" ref="O59:O61" si="60">N59*G59</f>
        <v>0</v>
      </c>
      <c r="P59" s="76">
        <f t="shared" ref="P59:P61" si="61">(I59*K59)+O59</f>
        <v>0</v>
      </c>
      <c r="Q59" s="65">
        <f t="shared" ref="Q59:Q61" si="62">P59*G59</f>
        <v>0</v>
      </c>
    </row>
    <row r="60" spans="1:36" s="104" customFormat="1" ht="31">
      <c r="A60" s="106">
        <f>IF(F60&lt;&gt;"",1+MAX($A$2:A59),"")</f>
        <v>29</v>
      </c>
      <c r="B60" s="110"/>
      <c r="C60" s="98"/>
      <c r="D60" s="112" t="s">
        <v>134</v>
      </c>
      <c r="E60" s="113">
        <v>48.35</v>
      </c>
      <c r="F60" s="96">
        <v>0.1</v>
      </c>
      <c r="G60" s="97">
        <f t="shared" si="56"/>
        <v>53.185000000000009</v>
      </c>
      <c r="H60" s="98" t="s">
        <v>47</v>
      </c>
      <c r="I60" s="73">
        <v>0</v>
      </c>
      <c r="J60" s="74">
        <f t="shared" si="57"/>
        <v>0</v>
      </c>
      <c r="K60" s="75">
        <v>50</v>
      </c>
      <c r="L60" s="76">
        <f t="shared" si="58"/>
        <v>0</v>
      </c>
      <c r="M60" s="76">
        <f t="shared" si="59"/>
        <v>0</v>
      </c>
      <c r="N60" s="76">
        <v>0</v>
      </c>
      <c r="O60" s="76">
        <f t="shared" si="60"/>
        <v>0</v>
      </c>
      <c r="P60" s="76">
        <f t="shared" si="61"/>
        <v>0</v>
      </c>
      <c r="Q60" s="65">
        <f t="shared" si="62"/>
        <v>0</v>
      </c>
    </row>
    <row r="61" spans="1:36" s="104" customFormat="1" ht="31">
      <c r="A61" s="106">
        <f>IF(F61&lt;&gt;"",1+MAX($A$2:A60),"")</f>
        <v>30</v>
      </c>
      <c r="B61" s="110"/>
      <c r="C61" s="98"/>
      <c r="D61" s="112" t="s">
        <v>135</v>
      </c>
      <c r="E61" s="113">
        <v>15.08</v>
      </c>
      <c r="F61" s="96">
        <v>0.1</v>
      </c>
      <c r="G61" s="97">
        <f t="shared" si="56"/>
        <v>16.588000000000001</v>
      </c>
      <c r="H61" s="98" t="s">
        <v>47</v>
      </c>
      <c r="I61" s="73">
        <v>0</v>
      </c>
      <c r="J61" s="74">
        <f t="shared" si="57"/>
        <v>0</v>
      </c>
      <c r="K61" s="75">
        <v>50</v>
      </c>
      <c r="L61" s="76">
        <f t="shared" si="58"/>
        <v>0</v>
      </c>
      <c r="M61" s="76">
        <f t="shared" si="59"/>
        <v>0</v>
      </c>
      <c r="N61" s="76">
        <v>0</v>
      </c>
      <c r="O61" s="76">
        <f t="shared" si="60"/>
        <v>0</v>
      </c>
      <c r="P61" s="76">
        <f t="shared" si="61"/>
        <v>0</v>
      </c>
      <c r="Q61" s="65">
        <f t="shared" si="62"/>
        <v>0</v>
      </c>
    </row>
    <row r="62" spans="1:36" s="104" customFormat="1">
      <c r="A62" s="106" t="str">
        <f>IF(F62&lt;&gt;"",1+MAX($A$2:A61),"")</f>
        <v/>
      </c>
      <c r="B62" s="110"/>
      <c r="C62" s="98"/>
      <c r="D62" s="100"/>
      <c r="E62" s="111"/>
      <c r="F62" s="96"/>
      <c r="G62" s="97"/>
      <c r="H62" s="98"/>
      <c r="I62" s="73"/>
      <c r="J62" s="74"/>
      <c r="K62" s="75"/>
      <c r="L62" s="76"/>
      <c r="M62" s="76"/>
      <c r="N62" s="76"/>
      <c r="O62" s="76"/>
      <c r="P62" s="76"/>
      <c r="Q62" s="108"/>
    </row>
    <row r="63" spans="1:36" s="104" customFormat="1" ht="14.65" customHeight="1">
      <c r="A63" s="106" t="str">
        <f>IF(F63&lt;&gt;"",1+MAX($A$2:A57),"")</f>
        <v/>
      </c>
      <c r="B63" s="110"/>
      <c r="C63" s="72"/>
      <c r="D63" s="99" t="s">
        <v>142</v>
      </c>
      <c r="E63" s="107"/>
      <c r="F63" s="107"/>
      <c r="G63" s="107"/>
      <c r="H63" s="107"/>
      <c r="I63" s="73"/>
      <c r="J63" s="98"/>
      <c r="K63" s="98"/>
      <c r="L63" s="76"/>
      <c r="M63" s="76"/>
      <c r="N63" s="76"/>
      <c r="O63" s="76"/>
      <c r="P63" s="76"/>
      <c r="Q63" s="108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</row>
    <row r="64" spans="1:36" s="104" customFormat="1" ht="31">
      <c r="A64" s="106">
        <f>IF(F64&lt;&gt;"",1+MAX($A$2:A63),"")</f>
        <v>31</v>
      </c>
      <c r="B64" s="110"/>
      <c r="C64" s="98"/>
      <c r="D64" s="112" t="s">
        <v>137</v>
      </c>
      <c r="E64" s="113">
        <v>551.71</v>
      </c>
      <c r="F64" s="96">
        <v>0.05</v>
      </c>
      <c r="G64" s="97">
        <f t="shared" ref="G64" si="63">E64*(1+F64)</f>
        <v>579.29550000000006</v>
      </c>
      <c r="H64" s="98" t="s">
        <v>49</v>
      </c>
      <c r="I64" s="73">
        <v>0</v>
      </c>
      <c r="J64" s="74">
        <f t="shared" ref="J64" si="64">+I64*G64</f>
        <v>0</v>
      </c>
      <c r="K64" s="75">
        <v>50</v>
      </c>
      <c r="L64" s="76">
        <f t="shared" ref="L64" si="65">I64*K64</f>
        <v>0</v>
      </c>
      <c r="M64" s="76">
        <f t="shared" ref="M64" si="66">K64*J64</f>
        <v>0</v>
      </c>
      <c r="N64" s="76">
        <v>0</v>
      </c>
      <c r="O64" s="76">
        <f t="shared" ref="O64" si="67">N64*G64</f>
        <v>0</v>
      </c>
      <c r="P64" s="76">
        <f t="shared" ref="P64" si="68">(I64*K64)+O64</f>
        <v>0</v>
      </c>
      <c r="Q64" s="65">
        <f t="shared" ref="Q64" si="69">P64*G64</f>
        <v>0</v>
      </c>
    </row>
    <row r="65" spans="1:36" s="104" customFormat="1">
      <c r="A65" s="106" t="str">
        <f>IF(F65&lt;&gt;"",1+MAX($A$2:A64),"")</f>
        <v/>
      </c>
      <c r="B65" s="110"/>
      <c r="C65" s="98"/>
      <c r="D65" s="100"/>
      <c r="E65" s="111"/>
      <c r="F65" s="96"/>
      <c r="G65" s="97"/>
      <c r="H65" s="98"/>
      <c r="I65" s="73"/>
      <c r="J65" s="74"/>
      <c r="K65" s="75"/>
      <c r="L65" s="76"/>
      <c r="M65" s="76"/>
      <c r="N65" s="76"/>
      <c r="O65" s="76"/>
      <c r="P65" s="76"/>
      <c r="Q65" s="108"/>
    </row>
    <row r="66" spans="1:36" s="104" customFormat="1" ht="14.65" customHeight="1">
      <c r="A66" s="106" t="str">
        <f>IF(F66&lt;&gt;"",1+MAX($A$2:A61),"")</f>
        <v/>
      </c>
      <c r="B66" s="110"/>
      <c r="C66" s="72"/>
      <c r="D66" s="99" t="s">
        <v>143</v>
      </c>
      <c r="E66" s="107"/>
      <c r="F66" s="107"/>
      <c r="G66" s="107"/>
      <c r="H66" s="107"/>
      <c r="I66" s="73"/>
      <c r="J66" s="98"/>
      <c r="K66" s="98"/>
      <c r="L66" s="76"/>
      <c r="M66" s="76"/>
      <c r="N66" s="76"/>
      <c r="O66" s="76"/>
      <c r="P66" s="76"/>
      <c r="Q66" s="108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</row>
    <row r="67" spans="1:36" s="104" customFormat="1">
      <c r="A67" s="106">
        <f>IF(F67&lt;&gt;"",1+MAX($A$2:A66),"")</f>
        <v>32</v>
      </c>
      <c r="B67" s="110"/>
      <c r="C67" s="98"/>
      <c r="D67" s="112" t="s">
        <v>122</v>
      </c>
      <c r="E67" s="113">
        <v>65.989999999999995</v>
      </c>
      <c r="F67" s="96">
        <v>0.05</v>
      </c>
      <c r="G67" s="97">
        <f t="shared" ref="G67" si="70">E67*(1+F67)</f>
        <v>69.289500000000004</v>
      </c>
      <c r="H67" s="98" t="s">
        <v>49</v>
      </c>
      <c r="I67" s="73">
        <v>0</v>
      </c>
      <c r="J67" s="74">
        <f t="shared" ref="J67" si="71">+I67*G67</f>
        <v>0</v>
      </c>
      <c r="K67" s="75">
        <v>50</v>
      </c>
      <c r="L67" s="76">
        <f t="shared" ref="L67" si="72">I67*K67</f>
        <v>0</v>
      </c>
      <c r="M67" s="76">
        <f t="shared" ref="M67" si="73">K67*J67</f>
        <v>0</v>
      </c>
      <c r="N67" s="76">
        <v>0</v>
      </c>
      <c r="O67" s="76">
        <f t="shared" ref="O67" si="74">N67*G67</f>
        <v>0</v>
      </c>
      <c r="P67" s="76">
        <f t="shared" ref="P67" si="75">(I67*K67)+O67</f>
        <v>0</v>
      </c>
      <c r="Q67" s="65">
        <f t="shared" ref="Q67" si="76">P67*G67</f>
        <v>0</v>
      </c>
    </row>
    <row r="68" spans="1:36" s="104" customFormat="1" ht="16" thickBot="1">
      <c r="A68" s="106" t="str">
        <f>IF(F68&lt;&gt;"",1+MAX($A$2:A67),"")</f>
        <v/>
      </c>
      <c r="B68" s="110"/>
      <c r="C68" s="98"/>
      <c r="D68" s="100"/>
      <c r="E68" s="111"/>
      <c r="F68" s="96"/>
      <c r="G68" s="97"/>
      <c r="H68" s="98"/>
      <c r="I68" s="73"/>
      <c r="J68" s="74"/>
      <c r="K68" s="75"/>
      <c r="L68" s="76"/>
      <c r="M68" s="76"/>
      <c r="N68" s="76"/>
      <c r="O68" s="76"/>
      <c r="P68" s="76"/>
      <c r="Q68" s="108"/>
    </row>
    <row r="69" spans="1:36" s="104" customFormat="1" ht="31">
      <c r="A69" s="114"/>
      <c r="B69" s="114"/>
      <c r="C69" s="114"/>
      <c r="D69" s="114"/>
      <c r="E69" s="114"/>
      <c r="F69" s="114"/>
      <c r="G69" s="114"/>
      <c r="H69" s="114"/>
      <c r="I69" s="114"/>
      <c r="J69" s="181"/>
      <c r="K69" s="190" t="s">
        <v>30</v>
      </c>
      <c r="L69" s="191"/>
      <c r="M69" s="178">
        <f>SUM(M20:M67)</f>
        <v>0</v>
      </c>
      <c r="N69" s="179" t="s">
        <v>32</v>
      </c>
      <c r="O69" s="180">
        <f>SUM(O20:O67)</f>
        <v>0</v>
      </c>
      <c r="P69" s="114"/>
      <c r="Q69" s="108"/>
      <c r="S69" s="105"/>
    </row>
    <row r="70" spans="1:36" s="104" customFormat="1">
      <c r="A70" s="115"/>
      <c r="B70" s="116"/>
      <c r="C70" s="117"/>
      <c r="D70" s="118" t="s">
        <v>52</v>
      </c>
      <c r="E70" s="119"/>
      <c r="F70" s="119"/>
      <c r="G70" s="120"/>
      <c r="H70" s="119"/>
      <c r="I70" s="119"/>
      <c r="J70" s="119"/>
      <c r="K70" s="119"/>
      <c r="L70" s="121"/>
      <c r="M70" s="121"/>
      <c r="N70" s="121"/>
      <c r="O70" s="121"/>
      <c r="P70" s="121"/>
      <c r="Q70" s="122" t="e">
        <f>#REF!+#REF!+#REF!+#REF!+#REF!+#REF!+#REF!+#REF!+#REF!+#REF!+#REF!+#REF!+#REF!+#REF!+#REF!+#REF!+#REF!+Q18</f>
        <v>#REF!</v>
      </c>
    </row>
    <row r="71" spans="1:36" s="104" customFormat="1">
      <c r="A71" s="115"/>
      <c r="B71" s="116"/>
      <c r="C71" s="123"/>
      <c r="D71" s="124" t="s">
        <v>53</v>
      </c>
      <c r="E71" s="125"/>
      <c r="F71" s="117"/>
      <c r="G71" s="125"/>
      <c r="H71" s="117"/>
      <c r="I71" s="117"/>
      <c r="J71" s="117"/>
      <c r="K71" s="117"/>
      <c r="L71" s="126">
        <v>0.05</v>
      </c>
      <c r="M71" s="126"/>
      <c r="N71" s="126"/>
      <c r="O71" s="126"/>
      <c r="P71" s="126"/>
      <c r="Q71" s="122" t="e">
        <f>Q70*L71</f>
        <v>#REF!</v>
      </c>
      <c r="R71" s="127"/>
      <c r="S71" s="127"/>
      <c r="T71" s="127"/>
      <c r="U71" s="127"/>
      <c r="V71" s="127"/>
      <c r="W71" s="127"/>
      <c r="X71" s="127"/>
      <c r="Y71" s="127"/>
      <c r="Z71" s="127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</row>
    <row r="72" spans="1:36" s="104" customFormat="1">
      <c r="A72" s="128"/>
      <c r="B72" s="129"/>
      <c r="C72" s="130"/>
      <c r="D72" s="131" t="s">
        <v>12</v>
      </c>
      <c r="E72" s="132"/>
      <c r="F72" s="133"/>
      <c r="G72" s="132"/>
      <c r="H72" s="133"/>
      <c r="I72" s="133"/>
      <c r="J72" s="133"/>
      <c r="K72" s="133"/>
      <c r="L72" s="134">
        <v>0.1</v>
      </c>
      <c r="M72" s="134"/>
      <c r="N72" s="134"/>
      <c r="O72" s="134"/>
      <c r="P72" s="134"/>
      <c r="Q72" s="135" t="e">
        <f>Q70*L72</f>
        <v>#REF!</v>
      </c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</row>
    <row r="73" spans="1:36" s="104" customFormat="1">
      <c r="A73" s="136"/>
      <c r="B73" s="137"/>
      <c r="C73" s="138"/>
      <c r="D73" s="139" t="s">
        <v>13</v>
      </c>
      <c r="E73" s="140"/>
      <c r="F73" s="141"/>
      <c r="G73" s="140"/>
      <c r="H73" s="141"/>
      <c r="I73" s="141"/>
      <c r="J73" s="141"/>
      <c r="K73" s="141"/>
      <c r="L73" s="142">
        <v>8.5000000000000006E-2</v>
      </c>
      <c r="M73" s="142"/>
      <c r="N73" s="142"/>
      <c r="O73" s="142"/>
      <c r="P73" s="142"/>
      <c r="Q73" s="143" t="e">
        <f>Q70*L73</f>
        <v>#REF!</v>
      </c>
      <c r="R73" s="127"/>
      <c r="S73" s="127"/>
      <c r="T73" s="127"/>
      <c r="U73" s="127"/>
      <c r="V73" s="127"/>
      <c r="W73" s="127"/>
      <c r="X73" s="127"/>
      <c r="Y73" s="127"/>
      <c r="Z73" s="127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</row>
    <row r="74" spans="1:36" s="104" customFormat="1">
      <c r="A74" s="136"/>
      <c r="B74" s="137"/>
      <c r="C74" s="138"/>
      <c r="D74" s="139" t="s">
        <v>14</v>
      </c>
      <c r="E74" s="140"/>
      <c r="F74" s="141"/>
      <c r="G74" s="140"/>
      <c r="H74" s="141"/>
      <c r="I74" s="141"/>
      <c r="J74" s="141"/>
      <c r="K74" s="141"/>
      <c r="L74" s="144">
        <v>1.4999999999999999E-2</v>
      </c>
      <c r="M74" s="144"/>
      <c r="N74" s="144"/>
      <c r="O74" s="144"/>
      <c r="P74" s="144"/>
      <c r="Q74" s="143" t="e">
        <f>Q70*L74</f>
        <v>#REF!</v>
      </c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</row>
    <row r="75" spans="1:36" s="104" customFormat="1">
      <c r="A75" s="145"/>
      <c r="B75" s="146"/>
      <c r="C75" s="147"/>
      <c r="D75" s="148" t="s">
        <v>15</v>
      </c>
      <c r="E75" s="149"/>
      <c r="F75" s="149"/>
      <c r="G75" s="150"/>
      <c r="H75" s="149"/>
      <c r="I75" s="149"/>
      <c r="J75" s="149"/>
      <c r="K75" s="149"/>
      <c r="L75" s="151"/>
      <c r="M75" s="151"/>
      <c r="N75" s="151"/>
      <c r="O75" s="151"/>
      <c r="P75" s="151"/>
      <c r="Q75" s="152" t="e">
        <f>SUM(Q70:Q74)</f>
        <v>#REF!</v>
      </c>
    </row>
  </sheetData>
  <mergeCells count="5">
    <mergeCell ref="K69:L69"/>
    <mergeCell ref="A2:Q2"/>
    <mergeCell ref="B3:C3"/>
    <mergeCell ref="B4:C4"/>
    <mergeCell ref="B5:C5"/>
  </mergeCells>
  <printOptions horizontalCentered="1"/>
  <pageMargins left="0.7" right="0.7" top="0.75" bottom="0.75" header="0.3" footer="0.3"/>
  <pageSetup paperSize="9" scale="36" fitToHeight="0" orientation="portrait"/>
  <headerFooter scaleWithDoc="0"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51"/>
  <sheetViews>
    <sheetView workbookViewId="0">
      <selection activeCell="A8" sqref="A8"/>
    </sheetView>
  </sheetViews>
  <sheetFormatPr defaultColWidth="9.08203125" defaultRowHeight="14.5"/>
  <cols>
    <col min="1" max="1" width="26.83203125" style="177" bestFit="1" customWidth="1"/>
    <col min="2" max="2" width="19.75" style="156" customWidth="1"/>
    <col min="3" max="3" width="20.58203125" style="156" customWidth="1"/>
    <col min="4" max="16384" width="9.08203125" style="156"/>
  </cols>
  <sheetData>
    <row r="1" spans="1:3" ht="15" thickBot="1">
      <c r="A1" s="154"/>
      <c r="B1" s="155"/>
      <c r="C1" s="155"/>
    </row>
    <row r="2" spans="1:3">
      <c r="A2" s="154"/>
      <c r="B2" s="198"/>
      <c r="C2" s="199"/>
    </row>
    <row r="3" spans="1:3">
      <c r="A3" s="154"/>
      <c r="B3" s="200"/>
      <c r="C3" s="201"/>
    </row>
    <row r="4" spans="1:3" ht="15" thickBot="1">
      <c r="A4" s="154"/>
      <c r="B4" s="202"/>
      <c r="C4" s="203"/>
    </row>
    <row r="5" spans="1:3" ht="15" thickBot="1">
      <c r="A5" s="154"/>
      <c r="B5" s="154"/>
      <c r="C5" s="154"/>
    </row>
    <row r="6" spans="1:3" ht="16" thickBot="1">
      <c r="A6" s="154"/>
      <c r="B6" s="157" t="s">
        <v>54</v>
      </c>
      <c r="C6" s="158" t="s">
        <v>55</v>
      </c>
    </row>
    <row r="7" spans="1:3" ht="15.5">
      <c r="A7" s="159"/>
      <c r="B7" s="160"/>
      <c r="C7" s="183"/>
    </row>
    <row r="8" spans="1:3" ht="15.5">
      <c r="A8" s="161" t="s">
        <v>56</v>
      </c>
      <c r="B8" s="162" t="s">
        <v>57</v>
      </c>
      <c r="C8" s="184">
        <v>60</v>
      </c>
    </row>
    <row r="9" spans="1:3" ht="15.5">
      <c r="A9" s="161" t="s">
        <v>7</v>
      </c>
      <c r="B9" s="162" t="s">
        <v>58</v>
      </c>
      <c r="C9" s="184">
        <v>70</v>
      </c>
    </row>
    <row r="10" spans="1:3" ht="15.5">
      <c r="A10" s="161" t="s">
        <v>59</v>
      </c>
      <c r="B10" s="162" t="s">
        <v>60</v>
      </c>
      <c r="C10" s="184">
        <v>70</v>
      </c>
    </row>
    <row r="11" spans="1:3" ht="15.5">
      <c r="A11" s="161" t="s">
        <v>8</v>
      </c>
      <c r="B11" s="162" t="s">
        <v>61</v>
      </c>
      <c r="C11" s="184">
        <v>70</v>
      </c>
    </row>
    <row r="12" spans="1:3" ht="15.5">
      <c r="A12" s="161" t="s">
        <v>9</v>
      </c>
      <c r="B12" s="162" t="s">
        <v>62</v>
      </c>
      <c r="C12" s="184">
        <v>60</v>
      </c>
    </row>
    <row r="13" spans="1:3" ht="15.5">
      <c r="A13" s="161" t="s">
        <v>63</v>
      </c>
      <c r="B13" s="162" t="s">
        <v>63</v>
      </c>
      <c r="C13" s="184">
        <v>60</v>
      </c>
    </row>
    <row r="14" spans="1:3" ht="15.5">
      <c r="A14" s="161" t="s">
        <v>64</v>
      </c>
      <c r="B14" s="162" t="s">
        <v>64</v>
      </c>
      <c r="C14" s="184">
        <v>55</v>
      </c>
    </row>
    <row r="15" spans="1:3" ht="15.5">
      <c r="A15" s="161" t="s">
        <v>65</v>
      </c>
      <c r="B15" s="162" t="s">
        <v>66</v>
      </c>
      <c r="C15" s="184">
        <v>50</v>
      </c>
    </row>
    <row r="16" spans="1:3" ht="15.5">
      <c r="A16" s="161" t="s">
        <v>67</v>
      </c>
      <c r="B16" s="162" t="s">
        <v>68</v>
      </c>
      <c r="C16" s="184">
        <v>60</v>
      </c>
    </row>
    <row r="17" spans="1:3" ht="15.5">
      <c r="A17" s="161" t="s">
        <v>69</v>
      </c>
      <c r="B17" s="162" t="s">
        <v>70</v>
      </c>
      <c r="C17" s="184">
        <v>70</v>
      </c>
    </row>
    <row r="18" spans="1:3" ht="15.5">
      <c r="A18" s="161" t="s">
        <v>5</v>
      </c>
      <c r="B18" s="162" t="s">
        <v>71</v>
      </c>
      <c r="C18" s="184">
        <v>70</v>
      </c>
    </row>
    <row r="19" spans="1:3" ht="15.5">
      <c r="A19" s="161" t="s">
        <v>113</v>
      </c>
      <c r="B19" s="162" t="s">
        <v>114</v>
      </c>
      <c r="C19" s="184">
        <v>70</v>
      </c>
    </row>
    <row r="20" spans="1:3" ht="15.5">
      <c r="A20" s="161" t="s">
        <v>116</v>
      </c>
      <c r="B20" s="162" t="s">
        <v>115</v>
      </c>
      <c r="C20" s="184">
        <v>70</v>
      </c>
    </row>
    <row r="21" spans="1:3" ht="15.5">
      <c r="A21" s="161" t="s">
        <v>117</v>
      </c>
      <c r="B21" s="162" t="s">
        <v>73</v>
      </c>
      <c r="C21" s="184">
        <v>85</v>
      </c>
    </row>
    <row r="22" spans="1:3" ht="15.5">
      <c r="A22" s="161" t="s">
        <v>118</v>
      </c>
      <c r="B22" s="162" t="s">
        <v>119</v>
      </c>
      <c r="C22" s="184">
        <v>65</v>
      </c>
    </row>
    <row r="23" spans="1:3" ht="15.5">
      <c r="A23" s="161" t="s">
        <v>72</v>
      </c>
      <c r="B23" s="162" t="s">
        <v>72</v>
      </c>
      <c r="C23" s="182">
        <v>45</v>
      </c>
    </row>
    <row r="24" spans="1:3" ht="16" thickBot="1">
      <c r="A24" s="163"/>
      <c r="B24" s="164"/>
      <c r="C24" s="165"/>
    </row>
    <row r="25" spans="1:3" ht="15" thickBot="1">
      <c r="A25" s="154"/>
      <c r="B25" s="154"/>
      <c r="C25" s="154"/>
    </row>
    <row r="26" spans="1:3" ht="15" thickBot="1">
      <c r="A26" s="166" t="s">
        <v>74</v>
      </c>
      <c r="B26" s="167">
        <v>0</v>
      </c>
      <c r="C26" s="154"/>
    </row>
    <row r="27" spans="1:3" ht="15" thickBot="1">
      <c r="A27" s="154"/>
      <c r="B27" s="154"/>
      <c r="C27" s="154"/>
    </row>
    <row r="28" spans="1:3" ht="16" thickBot="1">
      <c r="A28" s="154"/>
      <c r="B28" s="204" t="s">
        <v>24</v>
      </c>
      <c r="C28" s="205"/>
    </row>
    <row r="29" spans="1:3" ht="15.5">
      <c r="A29" s="168" t="s">
        <v>75</v>
      </c>
      <c r="B29" s="169" t="s">
        <v>48</v>
      </c>
      <c r="C29" s="170">
        <v>0</v>
      </c>
    </row>
    <row r="30" spans="1:3" ht="15.5">
      <c r="A30" s="171" t="s">
        <v>76</v>
      </c>
      <c r="B30" s="172" t="s">
        <v>49</v>
      </c>
      <c r="C30" s="173">
        <v>0.05</v>
      </c>
    </row>
    <row r="31" spans="1:3" ht="15.5">
      <c r="A31" s="171" t="s">
        <v>77</v>
      </c>
      <c r="B31" s="172" t="s">
        <v>47</v>
      </c>
      <c r="C31" s="173">
        <v>0.1</v>
      </c>
    </row>
    <row r="32" spans="1:3" ht="15.5">
      <c r="A32" s="171" t="s">
        <v>78</v>
      </c>
      <c r="B32" s="172" t="s">
        <v>79</v>
      </c>
      <c r="C32" s="173">
        <v>0.1</v>
      </c>
    </row>
    <row r="33" spans="1:3" ht="15.5">
      <c r="A33" s="171" t="s">
        <v>80</v>
      </c>
      <c r="B33" s="172" t="s">
        <v>45</v>
      </c>
      <c r="C33" s="173">
        <v>0.1</v>
      </c>
    </row>
    <row r="34" spans="1:3" ht="15.5">
      <c r="A34" s="171" t="s">
        <v>81</v>
      </c>
      <c r="B34" s="172" t="s">
        <v>37</v>
      </c>
      <c r="C34" s="173">
        <v>0</v>
      </c>
    </row>
    <row r="35" spans="1:3" ht="15.5">
      <c r="A35" s="171" t="s">
        <v>82</v>
      </c>
      <c r="B35" s="172" t="s">
        <v>83</v>
      </c>
      <c r="C35" s="173">
        <v>0</v>
      </c>
    </row>
    <row r="36" spans="1:3" ht="15.5">
      <c r="A36" s="171" t="s">
        <v>84</v>
      </c>
      <c r="B36" s="172" t="s">
        <v>85</v>
      </c>
      <c r="C36" s="173">
        <v>0</v>
      </c>
    </row>
    <row r="37" spans="1:3" ht="15.5">
      <c r="A37" s="171" t="s">
        <v>86</v>
      </c>
      <c r="B37" s="172" t="s">
        <v>87</v>
      </c>
      <c r="C37" s="173">
        <v>0</v>
      </c>
    </row>
    <row r="38" spans="1:3" ht="15.5">
      <c r="A38" s="171" t="s">
        <v>88</v>
      </c>
      <c r="B38" s="172" t="s">
        <v>89</v>
      </c>
      <c r="C38" s="173">
        <v>0</v>
      </c>
    </row>
    <row r="39" spans="1:3" ht="15.5">
      <c r="A39" s="171" t="s">
        <v>90</v>
      </c>
      <c r="B39" s="172" t="s">
        <v>91</v>
      </c>
      <c r="C39" s="173">
        <v>0.1</v>
      </c>
    </row>
    <row r="40" spans="1:3" ht="15.5">
      <c r="A40" s="171" t="s">
        <v>92</v>
      </c>
      <c r="B40" s="172" t="s">
        <v>46</v>
      </c>
      <c r="C40" s="173">
        <v>0.1</v>
      </c>
    </row>
    <row r="41" spans="1:3" ht="15.5">
      <c r="A41" s="171" t="s">
        <v>93</v>
      </c>
      <c r="B41" s="172" t="s">
        <v>94</v>
      </c>
      <c r="C41" s="173">
        <v>0</v>
      </c>
    </row>
    <row r="42" spans="1:3" ht="15.5">
      <c r="A42" s="171" t="s">
        <v>95</v>
      </c>
      <c r="B42" s="172" t="s">
        <v>96</v>
      </c>
      <c r="C42" s="173">
        <v>0</v>
      </c>
    </row>
    <row r="43" spans="1:3" ht="15.5">
      <c r="A43" s="171" t="s">
        <v>97</v>
      </c>
      <c r="B43" s="172" t="s">
        <v>97</v>
      </c>
      <c r="C43" s="173">
        <v>0.1</v>
      </c>
    </row>
    <row r="44" spans="1:3" ht="15.5">
      <c r="A44" s="171" t="s">
        <v>98</v>
      </c>
      <c r="B44" s="172" t="s">
        <v>99</v>
      </c>
      <c r="C44" s="173">
        <v>0</v>
      </c>
    </row>
    <row r="45" spans="1:3" ht="15.5">
      <c r="A45" s="171" t="s">
        <v>100</v>
      </c>
      <c r="B45" s="172" t="s">
        <v>101</v>
      </c>
      <c r="C45" s="173">
        <v>0</v>
      </c>
    </row>
    <row r="46" spans="1:3" ht="15.5">
      <c r="A46" s="171" t="s">
        <v>102</v>
      </c>
      <c r="B46" s="172" t="s">
        <v>103</v>
      </c>
      <c r="C46" s="173">
        <v>0</v>
      </c>
    </row>
    <row r="47" spans="1:3" ht="15.5">
      <c r="A47" s="171" t="s">
        <v>93</v>
      </c>
      <c r="B47" s="172" t="s">
        <v>104</v>
      </c>
      <c r="C47" s="173">
        <v>0</v>
      </c>
    </row>
    <row r="48" spans="1:3" ht="15.5">
      <c r="A48" s="171" t="s">
        <v>105</v>
      </c>
      <c r="B48" s="172" t="s">
        <v>106</v>
      </c>
      <c r="C48" s="173">
        <v>0</v>
      </c>
    </row>
    <row r="49" spans="1:3" ht="15.5">
      <c r="A49" s="171" t="s">
        <v>107</v>
      </c>
      <c r="B49" s="172" t="s">
        <v>108</v>
      </c>
      <c r="C49" s="173">
        <v>0</v>
      </c>
    </row>
    <row r="50" spans="1:3" ht="15.5">
      <c r="A50" s="171" t="s">
        <v>109</v>
      </c>
      <c r="B50" s="172" t="s">
        <v>110</v>
      </c>
      <c r="C50" s="173">
        <v>0.1</v>
      </c>
    </row>
    <row r="51" spans="1:3" ht="16" thickBot="1">
      <c r="A51" s="174" t="s">
        <v>111</v>
      </c>
      <c r="B51" s="175" t="s">
        <v>111</v>
      </c>
      <c r="C51" s="176">
        <v>0</v>
      </c>
    </row>
  </sheetData>
  <mergeCells count="2">
    <mergeCell ref="B2:C4"/>
    <mergeCell ref="B28:C2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CC2FA9-6501-42D0-9F40-DB72457FB5B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General Summary</vt:lpstr>
      <vt:lpstr>Takeoff Breakdown</vt:lpstr>
      <vt:lpstr>LABOR SHEET</vt:lpstr>
      <vt:lpstr>'General Summary'!Print_Area</vt:lpstr>
      <vt:lpstr>'Takeoff Breakdown'!Print_Area</vt:lpstr>
      <vt:lpstr>'Takeoff Breakdown'!Print_Titles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Mfbzone</dc:creator>
  <cp:lastModifiedBy>thinkpad</cp:lastModifiedBy>
  <cp:lastPrinted>2023-01-11T20:23:00Z</cp:lastPrinted>
  <dcterms:created xsi:type="dcterms:W3CDTF">2016-03-30T11:57:00Z</dcterms:created>
  <dcterms:modified xsi:type="dcterms:W3CDTF">2025-09-29T21:01:35Z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{C9CC2FA9-6501-42D0-9F40-DB72457FB5B7}</vt:lpwstr>
  </property>
  <property fmtid="{D5CDD505-2E9C-101B-9397-08002B2CF9AE}" pid="6" name="ICV">
    <vt:lpwstr>EC1FCEACD50048F7BE22E171269F4281_12</vt:lpwstr>
  </property>
  <property fmtid="{D5CDD505-2E9C-101B-9397-08002B2CF9AE}" pid="7" name="KSOProductBuildVer">
    <vt:lpwstr>1033-12.2.0.13431</vt:lpwstr>
  </property>
</Properties>
</file>